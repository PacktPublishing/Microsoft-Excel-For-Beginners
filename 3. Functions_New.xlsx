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271" documentId="8_{1C1635EC-B078-49F8-915A-F7514FD172CB}" xr6:coauthVersionLast="47" xr6:coauthVersionMax="47" xr10:uidLastSave="{CA18662F-D222-42F4-BC5D-17372B6C7A77}"/>
  <bookViews>
    <workbookView xWindow="-108" yWindow="-108" windowWidth="23256" windowHeight="12456" firstSheet="2" activeTab="6" xr2:uid="{00000000-000D-0000-FFFF-FFFF00000000}"/>
  </bookViews>
  <sheets>
    <sheet name="Text Functions" sheetId="1" r:id="rId1"/>
    <sheet name="Date Functions" sheetId="2" r:id="rId2"/>
    <sheet name="Logical Functions" sheetId="3" r:id="rId3"/>
    <sheet name="Master Shortcut" sheetId="4" r:id="rId4"/>
    <sheet name="Name Range" sheetId="6" r:id="rId5"/>
    <sheet name="Statistical Functions" sheetId="5" r:id="rId6"/>
    <sheet name="Cell Referencing" sheetId="7" r:id="rId7"/>
  </sheets>
  <definedNames>
    <definedName name="City3">'Statistical Functions'!$A$107:$A$116</definedName>
    <definedName name="City5">'Statistical Functions'!$A$146:$A$155</definedName>
    <definedName name="City7">'Statistical Functions'!$A$214:$A$223</definedName>
    <definedName name="Division1">'Statistical Functions'!$C$24:$C$33</definedName>
    <definedName name="DOJ1_">'Statistical Functions'!$B$24:$B$33</definedName>
    <definedName name="Fruits1">'Statistical Functions'!$A$66:$A$75</definedName>
    <definedName name="Fruits3">'Statistical Functions'!$B$107:$B$116</definedName>
    <definedName name="Fruits5">'Statistical Functions'!$B$146:$B$155</definedName>
    <definedName name="Fruits7">'Statistical Functions'!$B$214:$B$223</definedName>
    <definedName name="Name1">'Statistical Functions'!$A$24:$A$33</definedName>
    <definedName name="Quantity1">'Statistical Functions'!$B$66:$B$75</definedName>
    <definedName name="Quantity3">'Statistical Functions'!$C$107:$C$116</definedName>
    <definedName name="Quantity5">'Statistical Functions'!$C$146:$C$155</definedName>
    <definedName name="Quantity7">'Statistical Functions'!$C$214:$C$223</definedName>
    <definedName name="Salary1">'Statistical Functions'!$D$24:$D$33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7" l="1"/>
  <c r="L7" i="7"/>
  <c r="M7" i="7"/>
  <c r="N7" i="7"/>
  <c r="O7" i="7"/>
  <c r="K8" i="7"/>
  <c r="L8" i="7"/>
  <c r="M8" i="7"/>
  <c r="N8" i="7"/>
  <c r="O8" i="7"/>
  <c r="K9" i="7"/>
  <c r="L9" i="7"/>
  <c r="M9" i="7"/>
  <c r="N9" i="7"/>
  <c r="O9" i="7"/>
  <c r="K10" i="7"/>
  <c r="L10" i="7"/>
  <c r="M10" i="7"/>
  <c r="N10" i="7"/>
  <c r="O10" i="7"/>
  <c r="L6" i="7"/>
  <c r="M6" i="7"/>
  <c r="N6" i="7"/>
  <c r="O6" i="7"/>
  <c r="K6" i="7"/>
  <c r="D128" i="7"/>
  <c r="D127" i="7"/>
  <c r="D129" i="7"/>
  <c r="D130" i="7"/>
  <c r="D131" i="7"/>
  <c r="D132" i="7"/>
  <c r="D133" i="7"/>
  <c r="D126" i="7"/>
  <c r="D88" i="7"/>
  <c r="D89" i="7"/>
  <c r="D90" i="7"/>
  <c r="D91" i="7"/>
  <c r="D92" i="7"/>
  <c r="D93" i="7"/>
  <c r="D94" i="7"/>
  <c r="D95" i="7"/>
  <c r="D96" i="7"/>
  <c r="D87" i="7"/>
  <c r="C56" i="7"/>
  <c r="C55" i="7"/>
  <c r="C57" i="7"/>
  <c r="C58" i="7"/>
  <c r="C59" i="7"/>
  <c r="C60" i="7"/>
  <c r="C61" i="7"/>
  <c r="C54" i="7"/>
  <c r="D30" i="7"/>
  <c r="D29" i="7"/>
  <c r="D28" i="7"/>
  <c r="D25" i="7"/>
  <c r="D26" i="7"/>
  <c r="D27" i="7"/>
  <c r="D31" i="7"/>
  <c r="D24" i="7"/>
  <c r="D231" i="5"/>
  <c r="D229" i="5"/>
  <c r="D227" i="5"/>
  <c r="D225" i="5"/>
  <c r="D161" i="5"/>
  <c r="D159" i="5"/>
  <c r="D157" i="5"/>
  <c r="D126" i="5"/>
  <c r="D124" i="5"/>
  <c r="D120" i="5"/>
  <c r="D118" i="5"/>
  <c r="D85" i="5"/>
  <c r="D83" i="5"/>
  <c r="D81" i="5" l="1"/>
  <c r="D79" i="5"/>
  <c r="D77" i="5"/>
  <c r="D43" i="5"/>
  <c r="D41" i="5"/>
  <c r="D39" i="5"/>
  <c r="D37" i="5"/>
  <c r="D253" i="3"/>
  <c r="D254" i="3"/>
  <c r="D255" i="3"/>
  <c r="D256" i="3"/>
  <c r="D257" i="3"/>
  <c r="D252" i="3"/>
  <c r="C227" i="3" a="1"/>
  <c r="C227" i="3" s="1"/>
  <c r="C228" i="3" a="1"/>
  <c r="C228" i="3" s="1"/>
  <c r="C229" i="3" a="1"/>
  <c r="C229" i="3" s="1"/>
  <c r="C230" i="3" a="1"/>
  <c r="C230" i="3"/>
  <c r="C231" i="3" a="1"/>
  <c r="C231" i="3" s="1"/>
  <c r="C232" i="3" a="1"/>
  <c r="C232" i="3" s="1"/>
  <c r="C233" i="3" a="1"/>
  <c r="C233" i="3" s="1"/>
  <c r="C234" i="3" a="1"/>
  <c r="C234" i="3"/>
  <c r="C235" i="3" a="1"/>
  <c r="C235" i="3" s="1"/>
  <c r="C236" i="3" a="1"/>
  <c r="C236" i="3" s="1"/>
  <c r="C237" i="3" a="1"/>
  <c r="C237" i="3" s="1"/>
  <c r="C226" i="3" a="1"/>
  <c r="C226" i="3" s="1"/>
  <c r="C190" i="3"/>
  <c r="C191" i="3"/>
  <c r="C192" i="3"/>
  <c r="C193" i="3"/>
  <c r="C194" i="3"/>
  <c r="C195" i="3"/>
  <c r="C196" i="3"/>
  <c r="C197" i="3"/>
  <c r="C198" i="3"/>
  <c r="C199" i="3"/>
  <c r="C200" i="3"/>
  <c r="C189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30" i="3"/>
  <c r="D106" i="3"/>
  <c r="D107" i="3"/>
  <c r="D108" i="3"/>
  <c r="D109" i="3"/>
  <c r="D110" i="3"/>
  <c r="D111" i="3"/>
  <c r="D105" i="3"/>
  <c r="D81" i="3"/>
  <c r="D82" i="3"/>
  <c r="D83" i="3"/>
  <c r="D84" i="3"/>
  <c r="D85" i="3"/>
  <c r="D86" i="3"/>
  <c r="D80" i="3"/>
  <c r="D64" i="3"/>
  <c r="D65" i="3"/>
  <c r="D66" i="3"/>
  <c r="D67" i="3"/>
  <c r="D68" i="3"/>
  <c r="D63" i="3"/>
  <c r="B37" i="3"/>
  <c r="B38" i="3"/>
  <c r="B39" i="3"/>
  <c r="B40" i="3"/>
  <c r="B41" i="3"/>
  <c r="B42" i="3"/>
  <c r="B36" i="3"/>
  <c r="B20" i="3"/>
  <c r="B21" i="3"/>
  <c r="B22" i="3"/>
  <c r="B23" i="3"/>
  <c r="B24" i="3"/>
  <c r="B25" i="3"/>
  <c r="B19" i="3"/>
  <c r="C133" i="7"/>
  <c r="C132" i="7"/>
  <c r="C131" i="7"/>
  <c r="C130" i="7"/>
  <c r="C129" i="7"/>
  <c r="C128" i="7"/>
  <c r="C127" i="7"/>
  <c r="C126" i="7"/>
  <c r="CC2" i="2" l="1"/>
  <c r="CD3" i="2"/>
  <c r="CD4" i="2"/>
  <c r="CD5" i="2"/>
  <c r="CD6" i="2"/>
  <c r="CD7" i="2"/>
  <c r="CD8" i="2"/>
  <c r="CD9" i="2"/>
  <c r="CD10" i="2"/>
  <c r="CD11" i="2"/>
  <c r="CD2" i="2"/>
  <c r="CC3" i="2"/>
  <c r="CC4" i="2"/>
  <c r="CC5" i="2"/>
  <c r="CC6" i="2"/>
  <c r="CC7" i="2"/>
  <c r="CC8" i="2"/>
  <c r="CC9" i="2"/>
  <c r="CC10" i="2"/>
  <c r="CC11" i="2"/>
  <c r="BV9" i="2"/>
  <c r="BV7" i="2"/>
  <c r="BV6" i="2"/>
  <c r="BV5" i="2"/>
  <c r="BH23" i="2"/>
  <c r="BI23" i="2"/>
  <c r="BJ2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3" i="2"/>
  <c r="AY2" i="2"/>
  <c r="AY1" i="2"/>
  <c r="AT3" i="2"/>
  <c r="AT4" i="2"/>
  <c r="AT5" i="2"/>
  <c r="AT6" i="2"/>
  <c r="AT7" i="2"/>
  <c r="AT8" i="2"/>
  <c r="AT9" i="2"/>
  <c r="AT10" i="2"/>
  <c r="AT11" i="2"/>
  <c r="AT2" i="2"/>
  <c r="AS2" i="2"/>
  <c r="AS3" i="2"/>
  <c r="AS4" i="2"/>
  <c r="AS5" i="2"/>
  <c r="AS6" i="2"/>
  <c r="AS7" i="2"/>
  <c r="AS8" i="2"/>
  <c r="AS9" i="2"/>
  <c r="AS10" i="2"/>
  <c r="AS11" i="2"/>
  <c r="AN3" i="2"/>
  <c r="AN4" i="2"/>
  <c r="AN5" i="2"/>
  <c r="AN6" i="2"/>
  <c r="AN7" i="2"/>
  <c r="AN8" i="2"/>
  <c r="AN9" i="2"/>
  <c r="AN10" i="2"/>
  <c r="AN11" i="2"/>
  <c r="AN2" i="2"/>
  <c r="AD3" i="2"/>
  <c r="AD4" i="2"/>
  <c r="AD5" i="2"/>
  <c r="AD6" i="2"/>
  <c r="AD7" i="2"/>
  <c r="AD8" i="2"/>
  <c r="AD9" i="2"/>
  <c r="AD10" i="2"/>
  <c r="AD11" i="2"/>
  <c r="AD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" i="1"/>
  <c r="BO2" i="1"/>
  <c r="BO12" i="1"/>
  <c r="BO13" i="1"/>
  <c r="BO14" i="1"/>
  <c r="BO15" i="1"/>
  <c r="BO16" i="1"/>
  <c r="BO17" i="1"/>
  <c r="BO18" i="1"/>
  <c r="BO19" i="1"/>
  <c r="BO20" i="1"/>
  <c r="BO21" i="1"/>
  <c r="BO3" i="1"/>
  <c r="BO4" i="1"/>
  <c r="BO5" i="1"/>
  <c r="BO6" i="1"/>
  <c r="BO7" i="1"/>
  <c r="BO8" i="1"/>
  <c r="BO9" i="1"/>
  <c r="BO10" i="1"/>
  <c r="BO11" i="1"/>
  <c r="BG3" i="1"/>
  <c r="BG4" i="1"/>
  <c r="BG5" i="1"/>
  <c r="BG6" i="1"/>
  <c r="BG7" i="1"/>
  <c r="BG8" i="1"/>
  <c r="BG9" i="1"/>
  <c r="BG10" i="1"/>
  <c r="BG11" i="1"/>
  <c r="BG12" i="1"/>
  <c r="BG13" i="1"/>
  <c r="BG14" i="1"/>
  <c r="BG2" i="1"/>
  <c r="BF5" i="1"/>
  <c r="BF3" i="1"/>
  <c r="BF4" i="1"/>
  <c r="BF6" i="1"/>
  <c r="BF7" i="1"/>
  <c r="BF8" i="1"/>
  <c r="BF9" i="1"/>
  <c r="BF10" i="1"/>
  <c r="BF11" i="1"/>
  <c r="BF12" i="1"/>
  <c r="BF13" i="1"/>
  <c r="BF14" i="1"/>
  <c r="BF2" i="1"/>
  <c r="AV3" i="1"/>
  <c r="AV4" i="1"/>
  <c r="AV5" i="1"/>
  <c r="AV6" i="1"/>
  <c r="AV7" i="1"/>
  <c r="AV8" i="1"/>
  <c r="AV9" i="1"/>
  <c r="AV10" i="1"/>
  <c r="AV11" i="1"/>
  <c r="AV12" i="1"/>
  <c r="AV13" i="1"/>
  <c r="AV14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J3" i="1" a="1"/>
  <c r="AJ3" i="1" s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2" i="1" a="1"/>
  <c r="AJ2" i="1" s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<sst xmlns="http://schemas.openxmlformats.org/spreadsheetml/2006/main" count="958" uniqueCount="522">
  <si>
    <t>ID</t>
  </si>
  <si>
    <t>Name of YouTube Channel</t>
  </si>
  <si>
    <t>Name of the Owner</t>
  </si>
  <si>
    <t>Subscribers in Millions</t>
  </si>
  <si>
    <t>Bhushan Kumar</t>
  </si>
  <si>
    <t>Sony Pictures Network</t>
  </si>
  <si>
    <t>Zee Music company</t>
  </si>
  <si>
    <t>Subhash Chandra</t>
  </si>
  <si>
    <t>Sony Entertainment</t>
  </si>
  <si>
    <t>Aaj Tak</t>
  </si>
  <si>
    <t>India Today Group</t>
  </si>
  <si>
    <t>YRF</t>
  </si>
  <si>
    <t>Yash Raj Films</t>
  </si>
  <si>
    <t>Ajey Nagar</t>
  </si>
  <si>
    <t>Ashish Chanchlani</t>
  </si>
  <si>
    <t>BB Ki Vines</t>
  </si>
  <si>
    <t>Bhuvan Bam</t>
  </si>
  <si>
    <t>Gaurav Chaudhary</t>
  </si>
  <si>
    <t>MrBeast</t>
  </si>
  <si>
    <t>Jimmy Donaldson</t>
  </si>
  <si>
    <t>PEwdiePie</t>
  </si>
  <si>
    <t>Felix Kjellberg</t>
  </si>
  <si>
    <t>THE soul publishing</t>
  </si>
  <si>
    <t>likeNastia</t>
  </si>
  <si>
    <t>anastasia radzinskaya</t>
  </si>
  <si>
    <t>coComelon - Nursery rhymes</t>
  </si>
  <si>
    <t>Jay Jeon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</si>
  <si>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</si>
  <si>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</si>
  <si>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</si>
  <si>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</si>
  <si>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</si>
  <si>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</si>
  <si>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</si>
  <si>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</si>
  <si>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</si>
  <si>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T-serIES</t>
  </si>
  <si>
    <t>CarryMINATI</t>
  </si>
  <si>
    <t>Sony Music INDIA</t>
  </si>
  <si>
    <t>5-minute CRAFTS</t>
  </si>
  <si>
    <t>Upper</t>
  </si>
  <si>
    <t>Lower</t>
  </si>
  <si>
    <t>Proper</t>
  </si>
  <si>
    <t>SET          India</t>
  </si>
  <si>
    <t>Technical           Guruji</t>
  </si>
  <si>
    <t>Ashish     Chanchlani Vines</t>
  </si>
  <si>
    <t>Canal             Kondzilla</t>
  </si>
  <si>
    <t>Trim</t>
  </si>
  <si>
    <t>First Name</t>
  </si>
  <si>
    <t>Last Name</t>
  </si>
  <si>
    <t>Character Name</t>
  </si>
  <si>
    <t>Tony Stark</t>
  </si>
  <si>
    <t>Bruce Wayne</t>
  </si>
  <si>
    <t>Peter Parker</t>
  </si>
  <si>
    <t>Hermione Granger</t>
  </si>
  <si>
    <t>Chhota Bheem</t>
  </si>
  <si>
    <t>Virat Kohli</t>
  </si>
  <si>
    <t>Shah Rukh Khan</t>
  </si>
  <si>
    <t>Sachin Tendulkar</t>
  </si>
  <si>
    <t>Amitabh Bachchan</t>
  </si>
  <si>
    <t>MS Dhoni</t>
  </si>
  <si>
    <t>Mickey Mouse</t>
  </si>
  <si>
    <t>Donald Duck</t>
  </si>
  <si>
    <t>Dora Explorer</t>
  </si>
  <si>
    <t>SpongeBob SquarePants</t>
  </si>
  <si>
    <t>Text Split</t>
  </si>
  <si>
    <t>Day</t>
  </si>
  <si>
    <t>Month</t>
  </si>
  <si>
    <t>Year</t>
  </si>
  <si>
    <t>Name</t>
  </si>
  <si>
    <t>Date of Birth</t>
  </si>
  <si>
    <t>Priyanka Chopra</t>
  </si>
  <si>
    <t>Deepika Padukone</t>
  </si>
  <si>
    <t>Saina Nehwal</t>
  </si>
  <si>
    <t>Rohit Sharma</t>
  </si>
  <si>
    <t>Aishwarya Rai</t>
  </si>
  <si>
    <t>Lionel Messi</t>
  </si>
  <si>
    <t>Cristiano Ronaldo</t>
  </si>
  <si>
    <t>Serena Williams</t>
  </si>
  <si>
    <t>Roger Federer</t>
  </si>
  <si>
    <t>Tom Cruise</t>
  </si>
  <si>
    <t>Leonardo DiCaprio</t>
  </si>
  <si>
    <t>Usain Bolt</t>
  </si>
  <si>
    <t>Michael Jordan</t>
  </si>
  <si>
    <t>Novak Djokovic</t>
  </si>
  <si>
    <t>Rafael Nadal</t>
  </si>
  <si>
    <t>Weeknum</t>
  </si>
  <si>
    <t>Weekday</t>
  </si>
  <si>
    <t>Day of Week</t>
  </si>
  <si>
    <t>Order Date</t>
  </si>
  <si>
    <t>Days to Deliver</t>
  </si>
  <si>
    <t>Laptop</t>
  </si>
  <si>
    <t>Office Chair</t>
  </si>
  <si>
    <t>Mobile Phone</t>
  </si>
  <si>
    <t>Printer</t>
  </si>
  <si>
    <t>Desk Lamp</t>
  </si>
  <si>
    <t>Monitor</t>
  </si>
  <si>
    <t>Keyboard</t>
  </si>
  <si>
    <t>Air Conditioner</t>
  </si>
  <si>
    <t>Coffee Machine</t>
  </si>
  <si>
    <t>Bookshelf</t>
  </si>
  <si>
    <t>Item Name</t>
  </si>
  <si>
    <t>Expected Delivery Date?</t>
  </si>
  <si>
    <t>Months to deliver</t>
  </si>
  <si>
    <t>Years to Deliver</t>
  </si>
  <si>
    <t>Today</t>
  </si>
  <si>
    <t>Now</t>
  </si>
  <si>
    <t>Years</t>
  </si>
  <si>
    <t>Months</t>
  </si>
  <si>
    <t>Days</t>
  </si>
  <si>
    <t>Find Age of Person in Years, Months and Days</t>
  </si>
  <si>
    <t>Start Date</t>
  </si>
  <si>
    <t>End Date</t>
  </si>
  <si>
    <t>Difference between Dates</t>
  </si>
  <si>
    <t>Net Working Days</t>
  </si>
  <si>
    <t>Order Date and Time</t>
  </si>
  <si>
    <t>Date</t>
  </si>
  <si>
    <t>Time</t>
  </si>
  <si>
    <t>Len</t>
  </si>
  <si>
    <t xml:space="preserve">Diana </t>
  </si>
  <si>
    <t>A B D 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</si>
  <si>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</si>
  <si>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</si>
  <si>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</si>
  <si>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</si>
  <si>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</si>
  <si>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</si>
  <si>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</si>
  <si>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</si>
  <si>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</si>
  <si>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</si>
  <si>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</si>
  <si>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</si>
  <si>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Left</t>
  </si>
  <si>
    <t>Right</t>
  </si>
  <si>
    <t>Mid</t>
  </si>
  <si>
    <t>Find</t>
  </si>
  <si>
    <t>Search</t>
  </si>
  <si>
    <t>Replace</t>
  </si>
  <si>
    <t>Substitute</t>
  </si>
  <si>
    <t>Pavan Lalwani</t>
  </si>
  <si>
    <t>Networkdays in UAE</t>
  </si>
  <si>
    <t>Price</t>
  </si>
  <si>
    <t>Result</t>
  </si>
  <si>
    <t>Score 1</t>
  </si>
  <si>
    <t>Score 2</t>
  </si>
  <si>
    <t>Richard</t>
  </si>
  <si>
    <t>Stephen</t>
  </si>
  <si>
    <t>John</t>
  </si>
  <si>
    <t>Natasha</t>
  </si>
  <si>
    <t>Elvin</t>
  </si>
  <si>
    <t>Joseph</t>
  </si>
  <si>
    <t>Q1: If Price is greater than 2000, then TRUE else FALSE</t>
  </si>
  <si>
    <t>Greater than 2000</t>
  </si>
  <si>
    <t>Q2: If Price is greater than 2000, then TRUE else FALSE</t>
  </si>
  <si>
    <t>Q3: Score 1 should be above 60 and Score 2 above 90</t>
  </si>
  <si>
    <t>Semester 1</t>
  </si>
  <si>
    <t>Semester 2</t>
  </si>
  <si>
    <t>Elon Musk</t>
  </si>
  <si>
    <t>Biden</t>
  </si>
  <si>
    <t>Rahul G</t>
  </si>
  <si>
    <t>Mamta B</t>
  </si>
  <si>
    <t>Aditya C</t>
  </si>
  <si>
    <t>Sushant R</t>
  </si>
  <si>
    <t>Rajkumar R</t>
  </si>
  <si>
    <t>Geography
(Marks out of 100)</t>
  </si>
  <si>
    <t>Civics
(Marks out of 50)</t>
  </si>
  <si>
    <r>
      <t xml:space="preserve">Q4: Semester 2 is greater than Semester 1 then </t>
    </r>
    <r>
      <rPr>
        <b/>
        <sz val="14"/>
        <color theme="7" tint="0.39997558519241921"/>
        <rFont val="Segoe UI"/>
        <family val="2"/>
      </rPr>
      <t>Increment</t>
    </r>
    <r>
      <rPr>
        <b/>
        <sz val="14"/>
        <color theme="0"/>
        <rFont val="Segoe UI"/>
        <family val="2"/>
      </rPr>
      <t xml:space="preserve"> else </t>
    </r>
    <r>
      <rPr>
        <b/>
        <sz val="14"/>
        <color theme="7" tint="0.39997558519241921"/>
        <rFont val="Segoe UI"/>
        <family val="2"/>
      </rPr>
      <t>Decrement</t>
    </r>
  </si>
  <si>
    <t>Salary p.a. (US$)</t>
  </si>
  <si>
    <t>Division</t>
  </si>
  <si>
    <t>Rating</t>
  </si>
  <si>
    <t>Rating 1-3 AND Division "CDFD" AND Salary &lt; 50K</t>
  </si>
  <si>
    <t>HFD</t>
  </si>
  <si>
    <t>RAD</t>
  </si>
  <si>
    <t>CDFD</t>
  </si>
  <si>
    <t>ED</t>
  </si>
  <si>
    <t>RDD</t>
  </si>
  <si>
    <t>Satya Nadella</t>
  </si>
  <si>
    <t>Tim Cook</t>
  </si>
  <si>
    <t>Sundar Pichai</t>
  </si>
  <si>
    <t>Mark Zuckerberg</t>
  </si>
  <si>
    <t>Sheryl Sandberg</t>
  </si>
  <si>
    <t>Jeff Bezos</t>
  </si>
  <si>
    <t>Warren Buffett</t>
  </si>
  <si>
    <t>Mary Barra</t>
  </si>
  <si>
    <t>Indra Nooyi</t>
  </si>
  <si>
    <t>Jack Ma</t>
  </si>
  <si>
    <t>Ginni Rometty</t>
  </si>
  <si>
    <t>Q6: FIND OUT WHETHER THE PERSON IS ELIGIBLE OR NOT ELIGIBLE FOR BONUS</t>
  </si>
  <si>
    <r>
      <t xml:space="preserve">Q7: Geography &gt; 40 </t>
    </r>
    <r>
      <rPr>
        <b/>
        <sz val="16"/>
        <color rgb="FFFF0000"/>
        <rFont val="Segoe UI"/>
        <family val="2"/>
      </rPr>
      <t>OR</t>
    </r>
    <r>
      <rPr>
        <b/>
        <sz val="16"/>
        <color theme="0"/>
        <rFont val="Segoe UI"/>
        <family val="2"/>
      </rPr>
      <t xml:space="preserve"> Civics &gt; 20 then Pass else Fail</t>
    </r>
  </si>
  <si>
    <r>
      <t xml:space="preserve">Q5: If Geography &gt; 40 </t>
    </r>
    <r>
      <rPr>
        <b/>
        <sz val="14"/>
        <color rgb="FFFF0000"/>
        <rFont val="Segoe UI"/>
        <family val="2"/>
      </rPr>
      <t>AND</t>
    </r>
    <r>
      <rPr>
        <b/>
        <sz val="14"/>
        <color theme="0"/>
        <rFont val="Segoe UI"/>
        <family val="2"/>
      </rPr>
      <t xml:space="preserve"> Civics &gt; 20 then Pass else Fail</t>
    </r>
  </si>
  <si>
    <t>Rating Output</t>
  </si>
  <si>
    <t>Sonal Agarwal</t>
  </si>
  <si>
    <t>Pramod Pawar</t>
  </si>
  <si>
    <t>1-3</t>
  </si>
  <si>
    <t>Good</t>
  </si>
  <si>
    <t>4-5</t>
  </si>
  <si>
    <t>OK</t>
  </si>
  <si>
    <t>6-8</t>
  </si>
  <si>
    <t>Bad</t>
  </si>
  <si>
    <t>Grade</t>
  </si>
  <si>
    <t>Sales in K</t>
  </si>
  <si>
    <t>Quantity</t>
  </si>
  <si>
    <t>Gopal Agrawal</t>
  </si>
  <si>
    <t>Aniket Khirsagar</t>
  </si>
  <si>
    <t>Rahul Shirude</t>
  </si>
  <si>
    <t>Raju Chudiwal</t>
  </si>
  <si>
    <t>Q8 : Give Grades based on Rating (Nested IF Condition)</t>
  </si>
  <si>
    <t>Q10 : Give Grades based on Rating (IFS Function)</t>
  </si>
  <si>
    <r>
      <t xml:space="preserve">Q10: IF Error then replace it with </t>
    </r>
    <r>
      <rPr>
        <sz val="16"/>
        <color rgb="FFFF0000"/>
        <rFont val="Segoe UI"/>
        <family val="2"/>
      </rPr>
      <t>"Invalid Quantity"</t>
    </r>
  </si>
  <si>
    <t>Names</t>
  </si>
  <si>
    <t>First</t>
  </si>
  <si>
    <t>Last</t>
  </si>
  <si>
    <t>Initials</t>
  </si>
  <si>
    <t>Reverse</t>
  </si>
  <si>
    <t>Gopal</t>
  </si>
  <si>
    <t>Agrawal</t>
  </si>
  <si>
    <t>Aniket</t>
  </si>
  <si>
    <t>Khirsagar</t>
  </si>
  <si>
    <t>Rahul</t>
  </si>
  <si>
    <t>Shirude</t>
  </si>
  <si>
    <t>Raju</t>
  </si>
  <si>
    <t>Chudiwal</t>
  </si>
  <si>
    <t>Pramod</t>
  </si>
  <si>
    <t>Pawar</t>
  </si>
  <si>
    <t>Pandhari</t>
  </si>
  <si>
    <t>Philip Bhalerao</t>
  </si>
  <si>
    <t>Philip</t>
  </si>
  <si>
    <t>Bhalerao</t>
  </si>
  <si>
    <t>Pavan</t>
  </si>
  <si>
    <t>Lalwani</t>
  </si>
  <si>
    <t>Sonal</t>
  </si>
  <si>
    <t>Agarwal</t>
  </si>
  <si>
    <t>Ajinkya Deshmukh</t>
  </si>
  <si>
    <t>Ajinkya</t>
  </si>
  <si>
    <t>Deshmukh</t>
  </si>
  <si>
    <t>Concatenate</t>
  </si>
  <si>
    <t>Email address</t>
  </si>
  <si>
    <t>Pandharinath</t>
  </si>
  <si>
    <t>Tayde</t>
  </si>
  <si>
    <t>Choices</t>
  </si>
  <si>
    <t>Last Choice</t>
  </si>
  <si>
    <t>Red-Red-Red</t>
  </si>
  <si>
    <t>Blue-Green-Black</t>
  </si>
  <si>
    <t>Gray-Blue-Gray</t>
  </si>
  <si>
    <t>Violet-Pink-White</t>
  </si>
  <si>
    <t>Green-Blue-Orange</t>
  </si>
  <si>
    <t>Sand-Sand-Red</t>
  </si>
  <si>
    <t>Yellow-Pink-Red</t>
  </si>
  <si>
    <t>Hour</t>
  </si>
  <si>
    <t>Minute</t>
  </si>
  <si>
    <t>Phone</t>
  </si>
  <si>
    <t>Insert</t>
  </si>
  <si>
    <t>Student ID</t>
  </si>
  <si>
    <t>(020) 2065874545</t>
  </si>
  <si>
    <t>880-712-259</t>
  </si>
  <si>
    <t>(020) 2536987455</t>
  </si>
  <si>
    <t>880-709-467</t>
  </si>
  <si>
    <t>(020) 2159874439</t>
  </si>
  <si>
    <t>880-527-987</t>
  </si>
  <si>
    <t>(020) 4156559933</t>
  </si>
  <si>
    <t>998-613-133</t>
  </si>
  <si>
    <t>(020) 5105557845</t>
  </si>
  <si>
    <t>880-945-725</t>
  </si>
  <si>
    <t>Sales</t>
  </si>
  <si>
    <t>Integer</t>
  </si>
  <si>
    <t>Decimal</t>
  </si>
  <si>
    <t>Rupees</t>
  </si>
  <si>
    <t>Flash Fill</t>
  </si>
  <si>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</si>
  <si>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</si>
  <si>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</si>
  <si>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</si>
  <si>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</si>
  <si>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</si>
  <si>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</si>
  <si>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</si>
  <si>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</si>
  <si>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</si>
  <si>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Healthcare</t>
  </si>
  <si>
    <t>Rajesh Kumar</t>
  </si>
  <si>
    <t>Rahul Singh</t>
  </si>
  <si>
    <t>HR</t>
  </si>
  <si>
    <t>Sanjay Raut</t>
  </si>
  <si>
    <t>Manish Pandey</t>
  </si>
  <si>
    <t>IT</t>
  </si>
  <si>
    <t>Pravin Singh</t>
  </si>
  <si>
    <t>Marketing</t>
  </si>
  <si>
    <t>SUM</t>
  </si>
  <si>
    <t>SUMIF</t>
  </si>
  <si>
    <t>SUMIFS</t>
  </si>
  <si>
    <t>Calculate Total Salary</t>
  </si>
  <si>
    <t>Calculate Total Salary Greater than 20000</t>
  </si>
  <si>
    <t>Calculate Salary of HR Department</t>
  </si>
  <si>
    <t>Calculate Total Salary Greater than 20000 of HR Department</t>
  </si>
  <si>
    <t>Fruits1</t>
  </si>
  <si>
    <t>Quantity1</t>
  </si>
  <si>
    <t>Apples</t>
  </si>
  <si>
    <t>Banana</t>
  </si>
  <si>
    <t>Coconut</t>
  </si>
  <si>
    <t>Oranges</t>
  </si>
  <si>
    <t>COUNT</t>
  </si>
  <si>
    <t>COUNTA</t>
  </si>
  <si>
    <t>COUNTIF</t>
  </si>
  <si>
    <t>COUNTIFS</t>
  </si>
  <si>
    <t>Count  Quantity</t>
  </si>
  <si>
    <t>Count Fruits</t>
  </si>
  <si>
    <t>Count Quantity greater than 70</t>
  </si>
  <si>
    <t>Count Quantity between 70 and 90</t>
  </si>
  <si>
    <t>Count Apples with Quantity Less than 50</t>
  </si>
  <si>
    <t>City3</t>
  </si>
  <si>
    <t>Fruits3</t>
  </si>
  <si>
    <t>Quantity3</t>
  </si>
  <si>
    <t>Raigad</t>
  </si>
  <si>
    <t>Ratnagiri</t>
  </si>
  <si>
    <t>Sangli</t>
  </si>
  <si>
    <t>Satara</t>
  </si>
  <si>
    <t>Solapur</t>
  </si>
  <si>
    <t>Thane</t>
  </si>
  <si>
    <t>Wardha</t>
  </si>
  <si>
    <t>Washim</t>
  </si>
  <si>
    <t>Jack Fruit</t>
  </si>
  <si>
    <t>Pune</t>
  </si>
  <si>
    <t>Lemon</t>
  </si>
  <si>
    <t>AVERAGE</t>
  </si>
  <si>
    <t>AVERAGEIF</t>
  </si>
  <si>
    <t>AVERAGEIFS</t>
  </si>
  <si>
    <t>Average of Quantity</t>
  </si>
  <si>
    <t>Average of Quantity of Apples</t>
  </si>
  <si>
    <t>Average of Quantity &gt; 70</t>
  </si>
  <si>
    <t>Average of Apples and Oranges</t>
  </si>
  <si>
    <t>Average of Apples in Goa</t>
  </si>
  <si>
    <t>City5</t>
  </si>
  <si>
    <t>Fruits5</t>
  </si>
  <si>
    <t>Quantity5</t>
  </si>
  <si>
    <t>Mumbai</t>
  </si>
  <si>
    <t>Chennai</t>
  </si>
  <si>
    <t>Hyderabad</t>
  </si>
  <si>
    <t>Bangalore</t>
  </si>
  <si>
    <t>Delhi</t>
  </si>
  <si>
    <t>Goa</t>
  </si>
  <si>
    <t>Minimum Quantity</t>
  </si>
  <si>
    <t>Minimum Quantity of Apples</t>
  </si>
  <si>
    <t>Minimum Quantity of Apples in Goa</t>
  </si>
  <si>
    <t>City6</t>
  </si>
  <si>
    <t>Fruits6</t>
  </si>
  <si>
    <t>Quantity6</t>
  </si>
  <si>
    <t>Maximum Quantity</t>
  </si>
  <si>
    <t>Maximum Quantity of Apples</t>
  </si>
  <si>
    <t>Maximum Quantity of Apples in Goa</t>
  </si>
  <si>
    <t>City7</t>
  </si>
  <si>
    <t>Fruits7</t>
  </si>
  <si>
    <t>Quantity7</t>
  </si>
  <si>
    <t>Smallest Quantity</t>
  </si>
  <si>
    <t>3rd Smallest Quantity</t>
  </si>
  <si>
    <t>5th Smallest Quantity</t>
  </si>
  <si>
    <t>5th Largest Quantity</t>
  </si>
  <si>
    <t>MIN</t>
  </si>
  <si>
    <t>MINIF</t>
  </si>
  <si>
    <t>MINIFS</t>
  </si>
  <si>
    <t>MAX</t>
  </si>
  <si>
    <t>MAXIF</t>
  </si>
  <si>
    <t>MAXIFS</t>
  </si>
  <si>
    <t>SMALL</t>
  </si>
  <si>
    <t>LARGE</t>
  </si>
  <si>
    <t>What is Name Range</t>
  </si>
  <si>
    <t>Create Name Range</t>
  </si>
  <si>
    <t>Edit Name Range</t>
  </si>
  <si>
    <t>Delete Name Range</t>
  </si>
  <si>
    <t>Navigate using Name Range</t>
  </si>
  <si>
    <t>Total Revenue</t>
  </si>
  <si>
    <t>Total Expenses</t>
  </si>
  <si>
    <t>Net Income</t>
  </si>
  <si>
    <t>Jan</t>
  </si>
  <si>
    <t>Feb</t>
  </si>
  <si>
    <t>Mar</t>
  </si>
  <si>
    <t>Apr</t>
  </si>
  <si>
    <t>Jun</t>
  </si>
  <si>
    <t>Jul</t>
  </si>
  <si>
    <t>Aug</t>
  </si>
  <si>
    <t>Unit Sales</t>
  </si>
  <si>
    <t>Line Sales</t>
  </si>
  <si>
    <t>What is Cell Referencing</t>
  </si>
  <si>
    <t>Relative Cell Referencing</t>
  </si>
  <si>
    <t>Absolute Cell Referencing</t>
  </si>
  <si>
    <t>Mixed Cell Referencing</t>
  </si>
  <si>
    <t>Example 1: Relative Cell Referencing</t>
  </si>
  <si>
    <t>Example 2: Relative Cell Referencing</t>
  </si>
  <si>
    <t>Score</t>
  </si>
  <si>
    <t>Maximum Score</t>
  </si>
  <si>
    <t>Percentage</t>
  </si>
  <si>
    <t>Atul</t>
  </si>
  <si>
    <t>Ramakant</t>
  </si>
  <si>
    <t>Altaf</t>
  </si>
  <si>
    <t>Dollie</t>
  </si>
  <si>
    <t>Peter</t>
  </si>
  <si>
    <t>Vihaan</t>
  </si>
  <si>
    <t>Tax Rate</t>
  </si>
  <si>
    <t>Sales Tax</t>
  </si>
  <si>
    <t xml:space="preserve">Term </t>
  </si>
  <si>
    <t>Amount</t>
  </si>
  <si>
    <t>Example 4: Absolute Cell Referencing</t>
  </si>
  <si>
    <t>Example 5: Mixed Cell Referencing</t>
  </si>
  <si>
    <t>IF</t>
  </si>
  <si>
    <t>IFS</t>
  </si>
  <si>
    <t>IFERROR</t>
  </si>
  <si>
    <t xml:space="preserve">AND </t>
  </si>
  <si>
    <t>OR</t>
  </si>
  <si>
    <t>Master Shortcut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</si>
  <si>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</si>
  <si>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</si>
  <si>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</si>
  <si>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</si>
  <si>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</si>
  <si>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</si>
  <si>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</si>
  <si>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</si>
  <si>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</si>
  <si>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</si>
  <si>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</si>
  <si>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</si>
  <si>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</si>
  <si>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</si>
  <si>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</si>
  <si>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</si>
  <si>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</si>
  <si>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</si>
  <si>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</si>
  <si>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</si>
  <si>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</si>
  <si>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</si>
  <si>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</si>
  <si>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</si>
  <si>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</si>
  <si>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</si>
  <si>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</si>
  <si>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</si>
  <si>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</si>
  <si>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month</t>
  </si>
  <si>
    <t>ARY</t>
  </si>
  <si>
    <t>BER</t>
  </si>
  <si>
    <t>RCH</t>
  </si>
  <si>
    <t>RIL</t>
  </si>
  <si>
    <t>UNE</t>
  </si>
  <si>
    <t>ULY</t>
  </si>
  <si>
    <t>UST</t>
  </si>
  <si>
    <t>Sachin</t>
  </si>
  <si>
    <t>Virat</t>
  </si>
  <si>
    <t>Shah</t>
  </si>
  <si>
    <t>Priyanka</t>
  </si>
  <si>
    <t>Deepika</t>
  </si>
  <si>
    <t>MS</t>
  </si>
  <si>
    <t>Amitabh</t>
  </si>
  <si>
    <t>Saina</t>
  </si>
  <si>
    <t>Rohit</t>
  </si>
  <si>
    <t>Aishwarya</t>
  </si>
  <si>
    <t>Tendulkar</t>
  </si>
  <si>
    <t>Kohli</t>
  </si>
  <si>
    <t>Khan</t>
  </si>
  <si>
    <t>Chopra</t>
  </si>
  <si>
    <t>Padukone</t>
  </si>
  <si>
    <t>Dhoni</t>
  </si>
  <si>
    <t>Bachchan</t>
  </si>
  <si>
    <t>Nehwal</t>
  </si>
  <si>
    <t>Sharma</t>
  </si>
  <si>
    <t>Rai</t>
  </si>
  <si>
    <t>S T</t>
  </si>
  <si>
    <t>V K</t>
  </si>
  <si>
    <t>S K</t>
  </si>
  <si>
    <t>P C</t>
  </si>
  <si>
    <t>D P</t>
  </si>
  <si>
    <t>MS D</t>
  </si>
  <si>
    <t>A B</t>
  </si>
  <si>
    <t>S N</t>
  </si>
  <si>
    <t>R S</t>
  </si>
  <si>
    <t>A R</t>
  </si>
  <si>
    <t>Tendulakar Sachin</t>
  </si>
  <si>
    <t>Koahli Virat</t>
  </si>
  <si>
    <t>Khaan Shah</t>
  </si>
  <si>
    <t>Chopara Priyanka</t>
  </si>
  <si>
    <t>Padukaone Deepika</t>
  </si>
  <si>
    <t>Dhaoni MS</t>
  </si>
  <si>
    <t>Bachcahan Amitabh</t>
  </si>
  <si>
    <t>Nehawal Saina</t>
  </si>
  <si>
    <t>Shaarma Rohit</t>
  </si>
  <si>
    <t>Raia Aishwarya</t>
  </si>
  <si>
    <t>Pandharinath Tayde</t>
  </si>
  <si>
    <t>Gopal.A@bajaj.com</t>
  </si>
  <si>
    <t>Aniket.K@bajaj.com</t>
  </si>
  <si>
    <t>Rahul.S@bajaj.com</t>
  </si>
  <si>
    <t>Raju.C@bajaj.com</t>
  </si>
  <si>
    <t>Pramod.P@bajaj.com</t>
  </si>
  <si>
    <t>Pandharinath.T@bajaj.com</t>
  </si>
  <si>
    <t>Philip.B@bajaj.com</t>
  </si>
  <si>
    <t>Pavan.L@bajaj.com</t>
  </si>
  <si>
    <t>Sonal.A@bajaj.com</t>
  </si>
  <si>
    <t>Ajinkya.D@bajaj.com</t>
  </si>
  <si>
    <t>RED</t>
  </si>
  <si>
    <t>GRAY</t>
  </si>
  <si>
    <t>BLACK</t>
  </si>
  <si>
    <t>WHITE</t>
  </si>
  <si>
    <t>ORANGE</t>
  </si>
  <si>
    <t>01</t>
  </si>
  <si>
    <t>06</t>
  </si>
  <si>
    <t>11</t>
  </si>
  <si>
    <t>09</t>
  </si>
  <si>
    <t>05</t>
  </si>
  <si>
    <t>12</t>
  </si>
  <si>
    <t>04</t>
  </si>
  <si>
    <t>Rs. 97.65</t>
  </si>
  <si>
    <t>Rs. 51.4</t>
  </si>
  <si>
    <t>Rs. 21.96</t>
  </si>
  <si>
    <t>Rs. 50.60</t>
  </si>
  <si>
    <t>Rs. 35.74</t>
  </si>
  <si>
    <t>Rs. 12.33</t>
  </si>
  <si>
    <t>Rs. 74.21</t>
  </si>
  <si>
    <t>Rs. 49.34</t>
  </si>
  <si>
    <t>Rs. 65.56</t>
  </si>
  <si>
    <t>Rs. 31.20</t>
  </si>
  <si>
    <t>Use Name Range in Functions</t>
  </si>
  <si>
    <t>p</t>
  </si>
  <si>
    <t>Example 3: Absolute Cell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</si>
</sst>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409]d/mmm/yy;@"/>
    <numFmt numFmtId="165" formatCode="[$-409]d/mmm/yy\ h:mm\ AM/PM;@"/>
    <numFmt numFmtId="166" formatCode="hh:mm:ss;@"/>
    <numFmt numFmtId="167" formatCode="dddd"/>
    <numFmt numFmtId="168" formatCode="_ * #,##0.00_ ;_ * \-#,##0.00_ ;_ * &quot;-&quot;??_ ;_ @_ "/>
    <numFmt numFmtId="169" formatCode="hh:mm:ss\ AM/PM"/>
    <numFmt numFmtId="170" formatCode="_ [$₹-4009]\ * #,##0.00_ ;_ [$₹-4009]\ * \-#,##0.00_ ;_ [$₹-4009]\ 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Arial"/>
      <family val="2"/>
    </font>
    <font>
      <sz val="12"/>
      <color theme="0"/>
      <name val="Segoe UI"/>
      <family val="2"/>
    </font>
    <font>
      <sz val="12"/>
      <color theme="1"/>
      <name val="Segoe UI"/>
      <family val="2"/>
    </font>
    <font>
      <b/>
      <sz val="14"/>
      <color theme="0"/>
      <name val="Segoe UI"/>
      <family val="2"/>
    </font>
    <font>
      <b/>
      <sz val="14"/>
      <color theme="7" tint="0.39997558519241921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0"/>
      <name val="Arial"/>
      <family val="2"/>
    </font>
    <font>
      <sz val="12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Segoe UI"/>
      <family val="2"/>
    </font>
    <font>
      <b/>
      <sz val="12"/>
      <color theme="0"/>
      <name val="Segoe UI"/>
      <family val="2"/>
    </font>
    <font>
      <b/>
      <sz val="16"/>
      <color theme="0"/>
      <name val="Segoe UI"/>
      <family val="2"/>
    </font>
    <font>
      <sz val="16"/>
      <color rgb="FFFF0000"/>
      <name val="Segoe UI"/>
      <family val="2"/>
    </font>
    <font>
      <b/>
      <sz val="16"/>
      <color rgb="FFFF0000"/>
      <name val="Segoe UI"/>
      <family val="2"/>
    </font>
    <font>
      <b/>
      <sz val="14"/>
      <color rgb="FFFF0000"/>
      <name val="Segoe UI"/>
      <family val="2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0"/>
      <name val="Segoe UI"/>
      <family val="2"/>
    </font>
    <font>
      <sz val="12"/>
      <color theme="1" tint="4.9989318521683403E-2"/>
      <name val="Segoe UI"/>
      <family val="2"/>
    </font>
    <font>
      <sz val="14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14" fontId="0" fillId="0" borderId="0" xfId="0" applyNumberFormat="1"/>
    <xf numFmtId="1" fontId="0" fillId="0" borderId="4" xfId="0" applyNumberFormat="1" applyBorder="1"/>
    <xf numFmtId="0" fontId="5" fillId="3" borderId="0" xfId="0" applyFont="1" applyFill="1"/>
    <xf numFmtId="15" fontId="0" fillId="0" borderId="0" xfId="0" applyNumberFormat="1"/>
    <xf numFmtId="0" fontId="9" fillId="0" borderId="0" xfId="0" applyFont="1"/>
    <xf numFmtId="0" fontId="9" fillId="0" borderId="1" xfId="0" applyFont="1" applyBorder="1" applyAlignment="1">
      <alignment horizontal="center"/>
    </xf>
    <xf numFmtId="0" fontId="9" fillId="6" borderId="1" xfId="0" applyFont="1" applyFill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12" fillId="0" borderId="0" xfId="0" applyFont="1"/>
    <xf numFmtId="0" fontId="13" fillId="3" borderId="0" xfId="0" applyFont="1" applyFill="1"/>
    <xf numFmtId="0" fontId="12" fillId="0" borderId="1" xfId="0" applyFont="1" applyBorder="1"/>
    <xf numFmtId="0" fontId="8" fillId="3" borderId="1" xfId="2" applyFont="1" applyFill="1" applyBorder="1" applyAlignment="1">
      <alignment horizontal="center" wrapText="1"/>
    </xf>
    <xf numFmtId="168" fontId="15" fillId="0" borderId="1" xfId="4" applyFont="1" applyBorder="1" applyAlignment="1" applyProtection="1">
      <alignment horizontal="center" vertical="top" wrapText="1"/>
    </xf>
    <xf numFmtId="0" fontId="15" fillId="0" borderId="1" xfId="5" applyFont="1" applyBorder="1" applyAlignment="1">
      <alignment horizontal="center"/>
    </xf>
    <xf numFmtId="0" fontId="15" fillId="0" borderId="1" xfId="5" applyFont="1" applyBorder="1"/>
    <xf numFmtId="0" fontId="9" fillId="0" borderId="1" xfId="5" applyFont="1" applyBorder="1" applyAlignment="1">
      <alignment horizontal="center"/>
    </xf>
    <xf numFmtId="0" fontId="0" fillId="0" borderId="0" xfId="0" applyAlignment="1">
      <alignment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3" fontId="18" fillId="0" borderId="1" xfId="3" applyNumberFormat="1" applyFont="1" applyBorder="1" applyAlignment="1" applyProtection="1">
      <alignment horizontal="center" vertical="top" wrapText="1"/>
    </xf>
    <xf numFmtId="168" fontId="18" fillId="0" borderId="1" xfId="4" applyFont="1" applyBorder="1" applyAlignment="1" applyProtection="1">
      <alignment horizontal="center" vertical="top" wrapText="1"/>
    </xf>
    <xf numFmtId="0" fontId="18" fillId="0" borderId="1" xfId="5" applyFont="1" applyBorder="1" applyAlignment="1">
      <alignment horizontal="center"/>
    </xf>
    <xf numFmtId="0" fontId="18" fillId="0" borderId="1" xfId="5" applyFont="1" applyBorder="1"/>
    <xf numFmtId="0" fontId="12" fillId="0" borderId="1" xfId="5" applyFont="1" applyBorder="1" applyAlignment="1">
      <alignment horizontal="center"/>
    </xf>
    <xf numFmtId="2" fontId="9" fillId="0" borderId="1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14" fontId="9" fillId="0" borderId="1" xfId="0" applyNumberFormat="1" applyFont="1" applyBorder="1"/>
    <xf numFmtId="169" fontId="9" fillId="0" borderId="1" xfId="0" applyNumberFormat="1" applyFont="1" applyBorder="1"/>
    <xf numFmtId="1" fontId="9" fillId="0" borderId="1" xfId="0" applyNumberFormat="1" applyFont="1" applyBorder="1"/>
    <xf numFmtId="1" fontId="9" fillId="0" borderId="0" xfId="0" applyNumberFormat="1" applyFont="1"/>
    <xf numFmtId="170" fontId="9" fillId="0" borderId="1" xfId="0" applyNumberFormat="1" applyFont="1" applyBorder="1"/>
    <xf numFmtId="1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/>
    </xf>
    <xf numFmtId="0" fontId="15" fillId="0" borderId="1" xfId="3" applyNumberFormat="1" applyFont="1" applyBorder="1" applyAlignment="1" applyProtection="1">
      <alignment horizontal="center" vertical="top" wrapText="1"/>
    </xf>
    <xf numFmtId="0" fontId="15" fillId="0" borderId="1" xfId="0" applyFont="1" applyBorder="1" applyAlignment="1">
      <alignment horizontal="center"/>
    </xf>
    <xf numFmtId="0" fontId="8" fillId="3" borderId="0" xfId="2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9" fillId="3" borderId="0" xfId="2" applyFont="1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3" borderId="1" xfId="2" applyFont="1" applyFill="1" applyBorder="1" applyAlignment="1">
      <alignment horizontal="left" vertical="center"/>
    </xf>
    <xf numFmtId="0" fontId="8" fillId="3" borderId="7" xfId="0" applyFont="1" applyFill="1" applyBorder="1"/>
    <xf numFmtId="0" fontId="8" fillId="3" borderId="7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9" fontId="9" fillId="0" borderId="1" xfId="6" applyFont="1" applyBorder="1" applyAlignment="1">
      <alignment horizontal="center" vertical="center"/>
    </xf>
    <xf numFmtId="10" fontId="9" fillId="0" borderId="1" xfId="0" applyNumberFormat="1" applyFont="1" applyBorder="1"/>
    <xf numFmtId="0" fontId="9" fillId="0" borderId="0" xfId="0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left"/>
    </xf>
    <xf numFmtId="0" fontId="17" fillId="0" borderId="4" xfId="7" applyFill="1" applyBorder="1"/>
    <xf numFmtId="0" fontId="17" fillId="0" borderId="0" xfId="7" applyFill="1" applyBorder="1"/>
    <xf numFmtId="0" fontId="9" fillId="0" borderId="1" xfId="0" quotePrefix="1" applyFont="1" applyBorder="1"/>
    <xf numFmtId="0" fontId="5" fillId="3" borderId="3" xfId="0" applyFont="1" applyFill="1" applyBorder="1" applyAlignment="1">
      <alignment horizontal="center"/>
    </xf>
    <xf numFmtId="0" fontId="20" fillId="3" borderId="5" xfId="2" applyFont="1" applyFill="1" applyBorder="1" applyAlignment="1">
      <alignment horizontal="center" vertical="center" wrapText="1"/>
    </xf>
    <xf numFmtId="0" fontId="20" fillId="3" borderId="0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0" fillId="3" borderId="0" xfId="2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/>
    </xf>
    <xf numFmtId="0" fontId="8" fillId="3" borderId="1" xfId="0" applyFont="1" applyFill="1" applyBorder="1"/>
    <xf numFmtId="0" fontId="9" fillId="0" borderId="1" xfId="0" applyFont="1" applyBorder="1"/>
    <xf numFmtId="0" fontId="9" fillId="0" borderId="0" xfId="0" applyFont="1"/>
    <xf numFmtId="0" fontId="24" fillId="3" borderId="0" xfId="0" applyFont="1" applyFill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textRotation="255"/>
    </xf>
  </cellXfs>
  <cellStyles count="8">
    <cellStyle name="Accent2" xfId="1" builtinId="33"/>
    <cellStyle name="Accent5" xfId="2" builtinId="45"/>
    <cellStyle name="Comma 2" xfId="3" xr:uid="{C5B51706-79EC-4420-BA83-5AB0729C911C}"/>
    <cellStyle name="Comma 4 2" xfId="4" xr:uid="{187D2B6D-FC61-41FB-A06E-F1929FC46F3B}"/>
    <cellStyle name="Hyperlink" xfId="7" builtinId="8"/>
    <cellStyle name="Normal" xfId="0" builtinId="0"/>
    <cellStyle name="Normal 2 2" xfId="5" xr:uid="{ACBB908F-6202-43AA-A55D-6C6A5E1B7363}"/>
    <cellStyle name="Percent" xfId="6" builtinId="5"/>
  </cellStyles>
  <dxfs count="0"/>
  <tableStyles count="1" defaultTableStyle="TableStyleMedium2" defaultPivotStyle="PivotStyleLight16">
    <tableStyle name="Invisible" pivot="0" table="0" count="0" xr9:uid="{54DF14EE-3C05-439F-B60B-00DE6A378A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avan.L@bajaj.com" TargetMode="External"/><Relationship Id="rId3" Type="http://schemas.openxmlformats.org/officeDocument/2006/relationships/hyperlink" Target="mailto:Rahul.S@bajaj.com" TargetMode="External"/><Relationship Id="rId7" Type="http://schemas.openxmlformats.org/officeDocument/2006/relationships/hyperlink" Target="mailto:Philip.B@bajaj.com" TargetMode="External"/><Relationship Id="rId2" Type="http://schemas.openxmlformats.org/officeDocument/2006/relationships/hyperlink" Target="mailto:Aniket.K@bajaj.com" TargetMode="External"/><Relationship Id="rId1" Type="http://schemas.openxmlformats.org/officeDocument/2006/relationships/hyperlink" Target="mailto:Gopal.A@bajaj.com" TargetMode="External"/><Relationship Id="rId6" Type="http://schemas.openxmlformats.org/officeDocument/2006/relationships/hyperlink" Target="mailto:Pandharinath.T@bajaj.com" TargetMode="External"/><Relationship Id="rId5" Type="http://schemas.openxmlformats.org/officeDocument/2006/relationships/hyperlink" Target="mailto:Pramod.P@bajaj.com" TargetMode="External"/><Relationship Id="rId10" Type="http://schemas.openxmlformats.org/officeDocument/2006/relationships/hyperlink" Target="mailto:Ajinkya.D@bajaj.com" TargetMode="External"/><Relationship Id="rId4" Type="http://schemas.openxmlformats.org/officeDocument/2006/relationships/hyperlink" Target="mailto:Raju.C@bajaj.com" TargetMode="External"/><Relationship Id="rId9" Type="http://schemas.openxmlformats.org/officeDocument/2006/relationships/hyperlink" Target="mailto:Sonal.A@bajaj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1"/>
  <sheetViews>
    <sheetView showGridLines="0" topLeftCell="K1" zoomScale="160" zoomScaleNormal="160" workbookViewId="0">
      <selection activeCell="K13" sqref="K13"/>
    </sheetView>
  </sheetViews>
  <sheetFormatPr defaultRowHeight="14.4" x14ac:dyDescent="0.3"/>
  <cols>
    <col min="1" max="1" width="3.21875" bestFit="1" customWidth="1"/>
    <col min="2" max="2" width="28.109375" bestFit="1" customWidth="1"/>
    <col min="3" max="3" width="25.5546875" customWidth="1"/>
    <col min="4" max="4" width="21.77734375" style="9" bestFit="1" customWidth="1"/>
    <col min="5" max="8" width="21.77734375" style="2" customWidth="1"/>
    <col min="10" max="10" width="3.21875" bestFit="1" customWidth="1"/>
    <col min="11" max="11" width="34.109375" customWidth="1"/>
    <col min="12" max="16" width="25.44140625" customWidth="1"/>
    <col min="23" max="23" width="24.77734375" customWidth="1"/>
    <col min="24" max="25" width="22.6640625" customWidth="1"/>
    <col min="35" max="35" width="22.77734375" customWidth="1"/>
    <col min="36" max="36" width="24.77734375" customWidth="1"/>
    <col min="37" max="37" width="22" customWidth="1"/>
    <col min="38" max="38" width="17" customWidth="1"/>
    <col min="45" max="48" width="15" customWidth="1"/>
    <col min="57" max="57" width="12.109375" customWidth="1"/>
    <col min="58" max="59" width="12.88671875" customWidth="1"/>
    <col min="66" max="68" width="20.88671875" customWidth="1"/>
    <col min="76" max="76" width="25.6640625" customWidth="1"/>
    <col min="77" max="77" width="26.5546875" customWidth="1"/>
    <col min="78" max="78" width="24.5546875" customWidth="1"/>
  </cols>
  <sheetData>
    <row r="1" spans="1:78" s="2" customFormat="1" x14ac:dyDescent="0.3">
      <c r="A1" s="6" t="s">
        <v>0</v>
      </c>
      <c r="B1" s="6" t="s">
        <v>1</v>
      </c>
      <c r="C1" s="6" t="s">
        <v>2</v>
      </c>
      <c r="D1" s="8" t="s">
        <v>3</v>
      </c>
      <c r="E1" s="1"/>
      <c r="F1" s="1"/>
      <c r="G1" s="1"/>
      <c r="H1" s="1"/>
      <c r="J1" s="6" t="s">
        <v>0</v>
      </c>
      <c r="K1" s="6" t="s">
        <v>1</v>
      </c>
      <c r="L1" s="6" t="s">
        <v>47</v>
      </c>
      <c r="M1" s="7" t="s">
        <v>40</v>
      </c>
      <c r="N1" s="6" t="s">
        <v>41</v>
      </c>
      <c r="O1" s="6" t="s">
        <v>42</v>
      </c>
      <c r="P1" s="6" t="s">
        <v>118</v>
      </c>
      <c r="W1" s="6" t="s">
        <v>2</v>
      </c>
      <c r="X1" s="6" t="s">
        <v>48</v>
      </c>
      <c r="Y1" s="6" t="s">
        <v>49</v>
      </c>
      <c r="AI1" s="6" t="s">
        <v>50</v>
      </c>
      <c r="AJ1" s="6" t="s">
        <v>65</v>
      </c>
      <c r="AK1" s="6"/>
      <c r="AS1" s="6" t="s">
        <v>67</v>
      </c>
      <c r="AT1" s="6" t="s">
        <v>133</v>
      </c>
      <c r="AU1" s="6" t="s">
        <v>134</v>
      </c>
      <c r="AV1" s="6" t="s">
        <v>135</v>
      </c>
      <c r="BE1" s="6" t="s">
        <v>67</v>
      </c>
      <c r="BF1" s="6" t="s">
        <v>136</v>
      </c>
      <c r="BG1" s="6" t="s">
        <v>137</v>
      </c>
      <c r="BN1" s="6" t="s">
        <v>2</v>
      </c>
      <c r="BO1" s="6" t="s">
        <v>48</v>
      </c>
      <c r="BP1" s="6" t="s">
        <v>49</v>
      </c>
      <c r="BX1" s="6" t="s">
        <v>2</v>
      </c>
      <c r="BY1" s="6" t="s">
        <v>139</v>
      </c>
      <c r="BZ1" s="2" t="s">
        <v>138</v>
      </c>
    </row>
    <row r="2" spans="1:78" x14ac:dyDescent="0.3">
      <c r="A2" s="3">
        <v>1</v>
      </c>
      <c r="B2" s="4" t="s">
        <v>36</v>
      </c>
      <c r="C2" s="5" t="s">
        <v>4</v>
      </c>
      <c r="D2" s="10">
        <v>250</v>
      </c>
      <c r="E2" s="1"/>
      <c r="F2" s="1"/>
      <c r="G2" s="1"/>
      <c r="H2" s="1"/>
      <c r="J2" s="3">
        <v>1</v>
      </c>
      <c r="K2" s="4" t="s">
        <v>36</v>
      </c>
      <c r="L2" s="5" t="str">
        <f>TRIM(K2)</f>
        <v>T-serIES</v>
      </c>
      <c r="M2" s="5" t="str">
        <f>UPPER(TRIM(K2))</f>
        <v>T-SERIES</v>
      </c>
      <c r="N2" s="5" t="str">
        <f>LOWER(TRIM(K2))</f>
        <v>t-series</v>
      </c>
      <c r="O2" s="5" t="str">
        <f>PROPER(TRIM(K2))</f>
        <v>T-Series</v>
      </c>
      <c r="P2" s="5">
        <f>LEN(TRIM(K2))</f>
        <v>8</v>
      </c>
      <c r="W2" s="5" t="s">
        <v>4</v>
      </c>
      <c r="X2" t="str">
        <f>_xlfn.TEXTBEFORE(W2," ")</f>
        <v>Bhushan</v>
      </c>
      <c r="Y2" s="5" t="e">
        <f>_xlfn.TEXTAFTER(W2," ",2)</f>
        <v>#N/A</v>
      </c>
      <c r="AI2" s="5" t="s">
        <v>120</v>
      </c>
      <c r="AJ2" s="5" t="str" cm="1">
        <f t="array" ref="AJ2:AM2">_xlfn.TEXTSPLIT(AI2," ")</f>
        <v>A</v>
      </c>
      <c r="AK2" s="5" t="str">
        <v>B</v>
      </c>
      <c r="AL2" t="str">
        <v>D</v>
      </c>
      <c r="AM2" t="str">
        <v>E</v>
      </c>
      <c r="AS2" s="5" t="s">
        <v>121</v>
      </c>
      <c r="AT2" s="5" t="str">
        <f>LEFT(AS2,3)</f>
        <v>Jan</v>
      </c>
      <c r="AU2" s="5" t="str">
        <f>RIGHT(AS2,3)</f>
        <v>ary</v>
      </c>
      <c r="AV2" s="5" t="str">
        <f>MID(AS2,2,3)</f>
        <v>anu</v>
      </c>
      <c r="BE2" s="5" t="s">
        <v>121</v>
      </c>
      <c r="BF2" s="5">
        <f>FIND("a",BE2)</f>
        <v>2</v>
      </c>
      <c r="BG2" s="5">
        <f>SEARCH("a",BE2)</f>
        <v>2</v>
      </c>
      <c r="BN2" s="5" t="s">
        <v>4</v>
      </c>
      <c r="BO2" t="str">
        <f>LEFT(BN2,FIND(" ",BN2))</f>
        <v xml:space="preserve">Bhushan </v>
      </c>
      <c r="BP2" s="5" t="str">
        <f>REPLACE(BN2,1,FIND(" ",BN2)," ")</f>
        <v xml:space="preserve"> Kumar</v>
      </c>
      <c r="BX2" s="5" t="s">
        <v>4</v>
      </c>
      <c r="BY2" s="5" t="str">
        <f>SUBSTITUTE(BX2,"a","z")</f>
        <v>Bhushzn Kumzr</v>
      </c>
      <c r="BZ2" t="str">
        <f>REPLACE(BX2,8,20,"zzzzz")</f>
        <v>Bhushanzzzzz</v>
      </c>
    </row>
    <row r="3" spans="1:78" x14ac:dyDescent="0.3">
      <c r="A3" s="3">
        <v>2</v>
      </c>
      <c r="B3" s="4" t="s">
        <v>43</v>
      </c>
      <c r="C3" s="5" t="s">
        <v>5</v>
      </c>
      <c r="D3" s="10">
        <v>157</v>
      </c>
      <c r="E3" s="1"/>
      <c r="F3" s="1"/>
      <c r="G3" s="1"/>
      <c r="H3" s="1"/>
      <c r="J3" s="3">
        <v>2</v>
      </c>
      <c r="K3" s="4" t="s">
        <v>43</v>
      </c>
      <c r="L3" s="5" t="str">
        <f t="shared" ref="L3:L21" si="0">TRIM(K3)</f>
        <v>SET India</v>
      </c>
      <c r="M3" s="5" t="str">
        <f t="shared" ref="M3:M21" si="1">UPPER(TRIM(K3))</f>
        <v>SET INDIA</v>
      </c>
      <c r="N3" s="5" t="str">
        <f t="shared" ref="N3:N21" si="2">LOWER(TRIM(K3))</f>
        <v>set india</v>
      </c>
      <c r="O3" s="5" t="str">
        <f t="shared" ref="O3:O21" si="3">PROPER(TRIM(K3))</f>
        <v>Set India</v>
      </c>
      <c r="P3" s="5">
        <f t="shared" ref="P3:P21" si="4">LEN(TRIM(K3))</f>
        <v>9</v>
      </c>
      <c r="W3" s="5" t="s">
        <v>5</v>
      </c>
      <c r="X3" t="str">
        <f t="shared" ref="X3:X21" si="5">_xlfn.TEXTBEFORE(W3," ")</f>
        <v>Sony</v>
      </c>
      <c r="Y3" s="5"/>
      <c r="AI3" s="5" t="s">
        <v>51</v>
      </c>
      <c r="AJ3" s="5" t="str" cm="1">
        <f t="array" ref="AJ3:AK3">_xlfn.TEXTSPLIT(AI3," ")</f>
        <v>Tony</v>
      </c>
      <c r="AK3" s="5" t="str">
        <v>Stark</v>
      </c>
      <c r="AS3" s="5" t="s">
        <v>122</v>
      </c>
      <c r="AT3" s="5" t="str">
        <f t="shared" ref="AT3:AT14" si="6">LEFT(AS3,3)</f>
        <v>Feb</v>
      </c>
      <c r="AU3" s="5" t="str">
        <f t="shared" ref="AU3:AU14" si="7">RIGHT(AS3,3)</f>
        <v>ary</v>
      </c>
      <c r="AV3" s="5" t="str">
        <f t="shared" ref="AV3:AV14" si="8">MID(AS3,2,3)</f>
        <v>ebr</v>
      </c>
      <c r="BE3" s="5" t="s">
        <v>122</v>
      </c>
      <c r="BF3" s="5">
        <f t="shared" ref="BF3:BF14" si="9">FIND("a",BE3)</f>
        <v>6</v>
      </c>
      <c r="BG3" s="5">
        <f t="shared" ref="BG3:BG14" si="10">SEARCH("a",BE3)</f>
        <v>6</v>
      </c>
      <c r="BN3" s="5" t="s">
        <v>5</v>
      </c>
      <c r="BO3" t="str">
        <f t="shared" ref="BO3:BO21" si="11">LEFT(BN3,FIND(" ",BN3))</f>
        <v xml:space="preserve">Sony </v>
      </c>
      <c r="BP3" s="5" t="str">
        <f t="shared" ref="BP3:BP16" si="12">REPLACE(BN3,1,FIND(" ",BN3)," ")</f>
        <v xml:space="preserve"> Pictures Network</v>
      </c>
      <c r="BX3" s="5" t="s">
        <v>5</v>
      </c>
      <c r="BY3" s="5" t="str">
        <f t="shared" ref="BY3:BY21" si="13">SUBSTITUTE(BX3,"a","z")</f>
        <v>Sony Pictures Network</v>
      </c>
      <c r="BZ3" t="str">
        <f t="shared" ref="BZ3:BZ16" si="14">REPLACE(BX3,8,20,"zzzzz")</f>
        <v>Sony Pizzzzz</v>
      </c>
    </row>
    <row r="4" spans="1:78" x14ac:dyDescent="0.3">
      <c r="A4" s="3">
        <v>3</v>
      </c>
      <c r="B4" s="3" t="s">
        <v>6</v>
      </c>
      <c r="C4" s="5" t="s">
        <v>7</v>
      </c>
      <c r="D4" s="10">
        <v>94</v>
      </c>
      <c r="E4" s="1"/>
      <c r="F4" s="1"/>
      <c r="G4" s="1"/>
      <c r="H4" s="1"/>
      <c r="J4" s="3">
        <v>3</v>
      </c>
      <c r="K4" s="3" t="s">
        <v>6</v>
      </c>
      <c r="L4" s="5" t="str">
        <f t="shared" si="0"/>
        <v>Zee Music company</v>
      </c>
      <c r="M4" s="5" t="str">
        <f t="shared" si="1"/>
        <v>ZEE MUSIC COMPANY</v>
      </c>
      <c r="N4" s="5" t="str">
        <f t="shared" si="2"/>
        <v>zee music company</v>
      </c>
      <c r="O4" s="5" t="str">
        <f t="shared" si="3"/>
        <v>Zee Music Company</v>
      </c>
      <c r="P4" s="5">
        <f t="shared" si="4"/>
        <v>17</v>
      </c>
      <c r="W4" s="5" t="s">
        <v>7</v>
      </c>
      <c r="X4" t="str">
        <f t="shared" si="5"/>
        <v>Subhash</v>
      </c>
      <c r="Y4" s="5"/>
      <c r="AI4" s="5" t="s">
        <v>52</v>
      </c>
      <c r="AJ4" s="5" t="str" cm="1">
        <f t="array" ref="AJ4:AK4">_xlfn.TEXTSPLIT(AI4," ")</f>
        <v>Bruce</v>
      </c>
      <c r="AK4" s="5" t="str">
        <v>Wayne</v>
      </c>
      <c r="AS4" s="5" t="s">
        <v>123</v>
      </c>
      <c r="AT4" s="5" t="str">
        <f t="shared" si="6"/>
        <v>Mar</v>
      </c>
      <c r="AU4" s="5" t="str">
        <f t="shared" si="7"/>
        <v>rch</v>
      </c>
      <c r="AV4" s="5" t="str">
        <f t="shared" si="8"/>
        <v>arc</v>
      </c>
      <c r="BE4" s="5" t="s">
        <v>123</v>
      </c>
      <c r="BF4" s="5">
        <f t="shared" si="9"/>
        <v>2</v>
      </c>
      <c r="BG4" s="5">
        <f t="shared" si="10"/>
        <v>2</v>
      </c>
      <c r="BN4" s="5" t="s">
        <v>7</v>
      </c>
      <c r="BO4" t="str">
        <f t="shared" si="11"/>
        <v xml:space="preserve">Subhash </v>
      </c>
      <c r="BP4" s="5" t="str">
        <f t="shared" si="12"/>
        <v xml:space="preserve"> Chandra</v>
      </c>
      <c r="BX4" s="5" t="s">
        <v>7</v>
      </c>
      <c r="BY4" s="5" t="str">
        <f t="shared" si="13"/>
        <v>Subhzsh Chzndrz</v>
      </c>
      <c r="BZ4" t="str">
        <f t="shared" si="14"/>
        <v>Subhashzzzzz</v>
      </c>
    </row>
    <row r="5" spans="1:78" x14ac:dyDescent="0.3">
      <c r="A5" s="3">
        <v>4</v>
      </c>
      <c r="B5" s="3" t="s">
        <v>38</v>
      </c>
      <c r="C5" s="5" t="s">
        <v>8</v>
      </c>
      <c r="D5" s="10">
        <v>52</v>
      </c>
      <c r="E5" s="1"/>
      <c r="F5" s="1"/>
      <c r="G5" s="1"/>
      <c r="H5" s="1"/>
      <c r="J5" s="3">
        <v>4</v>
      </c>
      <c r="K5" s="3" t="s">
        <v>38</v>
      </c>
      <c r="L5" s="5" t="str">
        <f t="shared" si="0"/>
        <v>Sony Music INDIA</v>
      </c>
      <c r="M5" s="5" t="str">
        <f t="shared" si="1"/>
        <v>SONY MUSIC INDIA</v>
      </c>
      <c r="N5" s="5" t="str">
        <f t="shared" si="2"/>
        <v>sony music india</v>
      </c>
      <c r="O5" s="5" t="str">
        <f t="shared" si="3"/>
        <v>Sony Music India</v>
      </c>
      <c r="P5" s="5">
        <f t="shared" si="4"/>
        <v>16</v>
      </c>
      <c r="W5" s="5" t="s">
        <v>8</v>
      </c>
      <c r="X5" t="str">
        <f t="shared" si="5"/>
        <v>Sony</v>
      </c>
      <c r="Y5" s="5"/>
      <c r="AI5" s="5" t="s">
        <v>53</v>
      </c>
      <c r="AJ5" s="5" t="str" cm="1">
        <f t="array" ref="AJ5:AK5">_xlfn.TEXTSPLIT(AI5," ")</f>
        <v>Peter</v>
      </c>
      <c r="AK5" s="5" t="str">
        <v>Parker</v>
      </c>
      <c r="AS5" s="5" t="s">
        <v>124</v>
      </c>
      <c r="AT5" s="5" t="str">
        <f t="shared" si="6"/>
        <v>Apr</v>
      </c>
      <c r="AU5" s="5" t="str">
        <f t="shared" si="7"/>
        <v>ril</v>
      </c>
      <c r="AV5" s="5" t="str">
        <f t="shared" si="8"/>
        <v>pri</v>
      </c>
      <c r="BE5" s="5" t="s">
        <v>124</v>
      </c>
      <c r="BF5" s="5" t="e">
        <f>FIND("a",BE5)</f>
        <v>#VALUE!</v>
      </c>
      <c r="BG5" s="5">
        <f t="shared" si="10"/>
        <v>1</v>
      </c>
      <c r="BN5" s="5" t="s">
        <v>8</v>
      </c>
      <c r="BO5" t="str">
        <f t="shared" si="11"/>
        <v xml:space="preserve">Sony </v>
      </c>
      <c r="BP5" s="5" t="str">
        <f t="shared" si="12"/>
        <v xml:space="preserve"> Entertainment</v>
      </c>
      <c r="BX5" s="5" t="s">
        <v>8</v>
      </c>
      <c r="BY5" s="5" t="str">
        <f t="shared" si="13"/>
        <v>Sony Entertzinment</v>
      </c>
      <c r="BZ5" t="str">
        <f t="shared" si="14"/>
        <v>Sony Enzzzzz</v>
      </c>
    </row>
    <row r="6" spans="1:78" x14ac:dyDescent="0.3">
      <c r="A6" s="3">
        <v>5</v>
      </c>
      <c r="B6" s="3" t="s">
        <v>9</v>
      </c>
      <c r="C6" s="5" t="s">
        <v>10</v>
      </c>
      <c r="D6" s="10">
        <v>50</v>
      </c>
      <c r="E6" s="1"/>
      <c r="F6" s="1"/>
      <c r="G6" s="1"/>
      <c r="H6" s="1"/>
      <c r="J6" s="3">
        <v>5</v>
      </c>
      <c r="K6" s="3" t="s">
        <v>9</v>
      </c>
      <c r="L6" s="5" t="str">
        <f t="shared" si="0"/>
        <v>Aaj Tak</v>
      </c>
      <c r="M6" s="5" t="str">
        <f t="shared" si="1"/>
        <v>AAJ TAK</v>
      </c>
      <c r="N6" s="5" t="str">
        <f t="shared" si="2"/>
        <v>aaj tak</v>
      </c>
      <c r="O6" s="5" t="str">
        <f t="shared" si="3"/>
        <v>Aaj Tak</v>
      </c>
      <c r="P6" s="5">
        <f t="shared" si="4"/>
        <v>7</v>
      </c>
      <c r="W6" s="5" t="s">
        <v>10</v>
      </c>
      <c r="X6" t="str">
        <f t="shared" si="5"/>
        <v>India</v>
      </c>
      <c r="Y6" s="5"/>
      <c r="AI6" s="5" t="s">
        <v>54</v>
      </c>
      <c r="AJ6" s="5" t="str" cm="1">
        <f t="array" ref="AJ6:AK6">_xlfn.TEXTSPLIT(AI6," ")</f>
        <v>Hermione</v>
      </c>
      <c r="AK6" s="5" t="str">
        <v>Granger</v>
      </c>
      <c r="AS6" s="5" t="s">
        <v>125</v>
      </c>
      <c r="AT6" s="5" t="str">
        <f t="shared" si="6"/>
        <v>May</v>
      </c>
      <c r="AU6" s="5" t="str">
        <f t="shared" si="7"/>
        <v>May</v>
      </c>
      <c r="AV6" s="5" t="str">
        <f t="shared" si="8"/>
        <v>ay</v>
      </c>
      <c r="BE6" s="5" t="s">
        <v>125</v>
      </c>
      <c r="BF6" s="5">
        <f t="shared" si="9"/>
        <v>2</v>
      </c>
      <c r="BG6" s="5">
        <f t="shared" si="10"/>
        <v>2</v>
      </c>
      <c r="BN6" s="5" t="s">
        <v>10</v>
      </c>
      <c r="BO6" t="str">
        <f t="shared" si="11"/>
        <v xml:space="preserve">India </v>
      </c>
      <c r="BP6" s="5" t="str">
        <f t="shared" si="12"/>
        <v xml:space="preserve"> Today Group</v>
      </c>
      <c r="BX6" s="5" t="s">
        <v>10</v>
      </c>
      <c r="BY6" s="5" t="str">
        <f t="shared" si="13"/>
        <v>Indiz Todzy Group</v>
      </c>
      <c r="BZ6" t="str">
        <f t="shared" si="14"/>
        <v>India Tzzzzz</v>
      </c>
    </row>
    <row r="7" spans="1:78" x14ac:dyDescent="0.3">
      <c r="A7" s="3">
        <v>6</v>
      </c>
      <c r="B7" s="3" t="s">
        <v>11</v>
      </c>
      <c r="C7" s="5" t="s">
        <v>12</v>
      </c>
      <c r="D7" s="10">
        <v>45</v>
      </c>
      <c r="E7" s="1"/>
      <c r="F7" s="1"/>
      <c r="G7" s="1"/>
      <c r="H7" s="1"/>
      <c r="J7" s="3">
        <v>6</v>
      </c>
      <c r="K7" s="3" t="s">
        <v>11</v>
      </c>
      <c r="L7" s="5" t="str">
        <f t="shared" si="0"/>
        <v>YRF</v>
      </c>
      <c r="M7" s="5" t="str">
        <f t="shared" si="1"/>
        <v>YRF</v>
      </c>
      <c r="N7" s="5" t="str">
        <f t="shared" si="2"/>
        <v>yrf</v>
      </c>
      <c r="O7" s="5" t="str">
        <f t="shared" si="3"/>
        <v>Yrf</v>
      </c>
      <c r="P7" s="5">
        <f t="shared" si="4"/>
        <v>3</v>
      </c>
      <c r="W7" s="5" t="s">
        <v>12</v>
      </c>
      <c r="X7" t="str">
        <f t="shared" si="5"/>
        <v>Yash</v>
      </c>
      <c r="Y7" s="5"/>
      <c r="AI7" s="5" t="s">
        <v>55</v>
      </c>
      <c r="AJ7" s="5" t="str" cm="1">
        <f t="array" ref="AJ7:AK7">_xlfn.TEXTSPLIT(AI7," ")</f>
        <v>Chhota</v>
      </c>
      <c r="AK7" s="5" t="str">
        <v>Bheem</v>
      </c>
      <c r="AS7" s="5" t="s">
        <v>126</v>
      </c>
      <c r="AT7" s="5" t="str">
        <f t="shared" si="6"/>
        <v>Jun</v>
      </c>
      <c r="AU7" s="5" t="str">
        <f t="shared" si="7"/>
        <v>une</v>
      </c>
      <c r="AV7" s="5" t="str">
        <f t="shared" si="8"/>
        <v>une</v>
      </c>
      <c r="BE7" s="5" t="s">
        <v>126</v>
      </c>
      <c r="BF7" s="5" t="e">
        <f t="shared" si="9"/>
        <v>#VALUE!</v>
      </c>
      <c r="BG7" s="5" t="e">
        <f t="shared" si="10"/>
        <v>#VALUE!</v>
      </c>
      <c r="BN7" s="5" t="s">
        <v>12</v>
      </c>
      <c r="BO7" t="str">
        <f t="shared" si="11"/>
        <v xml:space="preserve">Yash </v>
      </c>
      <c r="BP7" s="5" t="str">
        <f t="shared" si="12"/>
        <v xml:space="preserve"> Raj Films</v>
      </c>
      <c r="BX7" s="5" t="s">
        <v>12</v>
      </c>
      <c r="BY7" s="5" t="str">
        <f t="shared" si="13"/>
        <v>Yzsh Rzj Films</v>
      </c>
      <c r="BZ7" t="str">
        <f t="shared" si="14"/>
        <v>Yash Razzzzz</v>
      </c>
    </row>
    <row r="8" spans="1:78" x14ac:dyDescent="0.3">
      <c r="A8" s="3">
        <v>7</v>
      </c>
      <c r="B8" s="4" t="s">
        <v>37</v>
      </c>
      <c r="C8" s="5" t="s">
        <v>13</v>
      </c>
      <c r="D8" s="10">
        <v>40</v>
      </c>
      <c r="E8" s="1"/>
      <c r="F8" s="1"/>
      <c r="G8" s="1"/>
      <c r="H8" s="1"/>
      <c r="J8" s="3">
        <v>7</v>
      </c>
      <c r="K8" s="4" t="s">
        <v>37</v>
      </c>
      <c r="L8" s="5" t="str">
        <f t="shared" si="0"/>
        <v>CarryMINATI</v>
      </c>
      <c r="M8" s="5" t="str">
        <f t="shared" si="1"/>
        <v>CARRYMINATI</v>
      </c>
      <c r="N8" s="5" t="str">
        <f t="shared" si="2"/>
        <v>carryminati</v>
      </c>
      <c r="O8" s="5" t="str">
        <f t="shared" si="3"/>
        <v>Carryminati</v>
      </c>
      <c r="P8" s="5">
        <f t="shared" si="4"/>
        <v>11</v>
      </c>
      <c r="W8" s="5" t="s">
        <v>13</v>
      </c>
      <c r="X8" t="str">
        <f t="shared" si="5"/>
        <v>Ajey</v>
      </c>
      <c r="Y8" s="5"/>
      <c r="AI8" s="5" t="s">
        <v>56</v>
      </c>
      <c r="AJ8" s="5" t="str" cm="1">
        <f t="array" ref="AJ8:AK8">_xlfn.TEXTSPLIT(AI8," ")</f>
        <v>Virat</v>
      </c>
      <c r="AK8" s="5" t="str">
        <v>Kohli</v>
      </c>
      <c r="AS8" s="5" t="s">
        <v>127</v>
      </c>
      <c r="AT8" s="5" t="str">
        <f t="shared" si="6"/>
        <v>Jul</v>
      </c>
      <c r="AU8" s="5" t="str">
        <f t="shared" si="7"/>
        <v>uly</v>
      </c>
      <c r="AV8" s="5" t="str">
        <f t="shared" si="8"/>
        <v>uly</v>
      </c>
      <c r="BE8" s="5" t="s">
        <v>127</v>
      </c>
      <c r="BF8" s="5" t="e">
        <f t="shared" si="9"/>
        <v>#VALUE!</v>
      </c>
      <c r="BG8" s="5" t="e">
        <f t="shared" si="10"/>
        <v>#VALUE!</v>
      </c>
      <c r="BN8" s="5" t="s">
        <v>13</v>
      </c>
      <c r="BO8" t="str">
        <f t="shared" si="11"/>
        <v xml:space="preserve">Ajey </v>
      </c>
      <c r="BP8" s="5" t="str">
        <f t="shared" si="12"/>
        <v xml:space="preserve"> Nagar</v>
      </c>
      <c r="BX8" s="5" t="s">
        <v>13</v>
      </c>
      <c r="BY8" s="5" t="str">
        <f t="shared" si="13"/>
        <v>Ajey Nzgzr</v>
      </c>
      <c r="BZ8" t="str">
        <f t="shared" si="14"/>
        <v>Ajey Nazzzzz</v>
      </c>
    </row>
    <row r="9" spans="1:78" x14ac:dyDescent="0.3">
      <c r="A9" s="3">
        <v>8</v>
      </c>
      <c r="B9" s="4" t="s">
        <v>45</v>
      </c>
      <c r="C9" s="5" t="s">
        <v>14</v>
      </c>
      <c r="D9" s="10">
        <v>32</v>
      </c>
      <c r="E9" s="1"/>
      <c r="F9" s="1"/>
      <c r="G9" s="1"/>
      <c r="H9" s="1"/>
      <c r="J9" s="3">
        <v>8</v>
      </c>
      <c r="K9" s="4" t="s">
        <v>45</v>
      </c>
      <c r="L9" s="5" t="str">
        <f t="shared" si="0"/>
        <v>Ashish Chanchlani Vines</v>
      </c>
      <c r="M9" s="5" t="str">
        <f t="shared" si="1"/>
        <v>ASHISH CHANCHLANI VINES</v>
      </c>
      <c r="N9" s="5" t="str">
        <f t="shared" si="2"/>
        <v>ashish chanchlani vines</v>
      </c>
      <c r="O9" s="5" t="str">
        <f t="shared" si="3"/>
        <v>Ashish Chanchlani Vines</v>
      </c>
      <c r="P9" s="5">
        <f t="shared" si="4"/>
        <v>23</v>
      </c>
      <c r="W9" s="5" t="s">
        <v>14</v>
      </c>
      <c r="X9" t="str">
        <f t="shared" si="5"/>
        <v>Ashish</v>
      </c>
      <c r="Y9" s="5"/>
      <c r="AI9" s="5" t="s">
        <v>57</v>
      </c>
      <c r="AJ9" s="5" t="str" cm="1">
        <f t="array" ref="AJ9:AL9">_xlfn.TEXTSPLIT(AI9," ")</f>
        <v>Shah</v>
      </c>
      <c r="AK9" s="5" t="str">
        <v>Rukh</v>
      </c>
      <c r="AL9" t="str">
        <v>Khan</v>
      </c>
      <c r="AS9" s="5" t="s">
        <v>128</v>
      </c>
      <c r="AT9" s="5" t="str">
        <f t="shared" si="6"/>
        <v>Aug</v>
      </c>
      <c r="AU9" s="5" t="str">
        <f t="shared" si="7"/>
        <v>ust</v>
      </c>
      <c r="AV9" s="5" t="str">
        <f t="shared" si="8"/>
        <v>ugu</v>
      </c>
      <c r="BE9" s="5" t="s">
        <v>128</v>
      </c>
      <c r="BF9" s="5" t="e">
        <f t="shared" si="9"/>
        <v>#VALUE!</v>
      </c>
      <c r="BG9" s="5">
        <f t="shared" si="10"/>
        <v>1</v>
      </c>
      <c r="BN9" s="5" t="s">
        <v>14</v>
      </c>
      <c r="BO9" t="str">
        <f t="shared" si="11"/>
        <v xml:space="preserve">Ashish </v>
      </c>
      <c r="BP9" s="5" t="str">
        <f t="shared" si="12"/>
        <v xml:space="preserve"> Chanchlani</v>
      </c>
      <c r="BX9" s="5" t="s">
        <v>14</v>
      </c>
      <c r="BY9" s="5" t="str">
        <f t="shared" si="13"/>
        <v>Ashish Chznchlzni</v>
      </c>
      <c r="BZ9" t="str">
        <f t="shared" si="14"/>
        <v>Ashish zzzzz</v>
      </c>
    </row>
    <row r="10" spans="1:78" x14ac:dyDescent="0.3">
      <c r="A10" s="3">
        <v>9</v>
      </c>
      <c r="B10" s="3" t="s">
        <v>15</v>
      </c>
      <c r="C10" s="5" t="s">
        <v>16</v>
      </c>
      <c r="D10" s="10">
        <v>26</v>
      </c>
      <c r="E10" s="1"/>
      <c r="F10" s="1"/>
      <c r="G10" s="1"/>
      <c r="H10" s="1"/>
      <c r="J10" s="3">
        <v>9</v>
      </c>
      <c r="K10" s="3" t="s">
        <v>15</v>
      </c>
      <c r="L10" s="5" t="str">
        <f t="shared" si="0"/>
        <v>BB Ki Vines</v>
      </c>
      <c r="M10" s="5" t="str">
        <f t="shared" si="1"/>
        <v>BB KI VINES</v>
      </c>
      <c r="N10" s="5" t="str">
        <f t="shared" si="2"/>
        <v>bb ki vines</v>
      </c>
      <c r="O10" s="5" t="str">
        <f t="shared" si="3"/>
        <v>Bb Ki Vines</v>
      </c>
      <c r="P10" s="5">
        <f t="shared" si="4"/>
        <v>11</v>
      </c>
      <c r="W10" s="5" t="s">
        <v>16</v>
      </c>
      <c r="X10" t="str">
        <f t="shared" si="5"/>
        <v>Bhuvan</v>
      </c>
      <c r="Y10" s="5"/>
      <c r="AI10" s="5" t="s">
        <v>58</v>
      </c>
      <c r="AJ10" s="5" t="str" cm="1">
        <f t="array" ref="AJ10:AK10">_xlfn.TEXTSPLIT(AI10," ")</f>
        <v>Sachin</v>
      </c>
      <c r="AK10" s="5" t="str">
        <v>Tendulkar</v>
      </c>
      <c r="AS10" s="5" t="s">
        <v>129</v>
      </c>
      <c r="AT10" s="5" t="str">
        <f t="shared" si="6"/>
        <v>Sep</v>
      </c>
      <c r="AU10" s="5" t="str">
        <f t="shared" si="7"/>
        <v>ber</v>
      </c>
      <c r="AV10" s="5" t="str">
        <f t="shared" si="8"/>
        <v>ept</v>
      </c>
      <c r="BE10" s="5" t="s">
        <v>129</v>
      </c>
      <c r="BF10" s="5" t="e">
        <f t="shared" si="9"/>
        <v>#VALUE!</v>
      </c>
      <c r="BG10" s="5" t="e">
        <f t="shared" si="10"/>
        <v>#VALUE!</v>
      </c>
      <c r="BN10" s="5" t="s">
        <v>16</v>
      </c>
      <c r="BO10" t="str">
        <f t="shared" si="11"/>
        <v xml:space="preserve">Bhuvan </v>
      </c>
      <c r="BP10" s="5" t="str">
        <f t="shared" si="12"/>
        <v xml:space="preserve"> Bam</v>
      </c>
      <c r="BX10" s="5" t="s">
        <v>16</v>
      </c>
      <c r="BY10" s="5" t="str">
        <f t="shared" si="13"/>
        <v>Bhuvzn Bzm</v>
      </c>
      <c r="BZ10" t="str">
        <f t="shared" si="14"/>
        <v>Bhuvan zzzzz</v>
      </c>
    </row>
    <row r="11" spans="1:78" x14ac:dyDescent="0.3">
      <c r="A11" s="3">
        <v>10</v>
      </c>
      <c r="B11" s="4" t="s">
        <v>44</v>
      </c>
      <c r="C11" s="5" t="s">
        <v>17</v>
      </c>
      <c r="D11" s="10">
        <v>22</v>
      </c>
      <c r="E11" s="1"/>
      <c r="F11" s="1"/>
      <c r="G11" s="1"/>
      <c r="H11" s="1"/>
      <c r="J11" s="3">
        <v>10</v>
      </c>
      <c r="K11" s="4" t="s">
        <v>44</v>
      </c>
      <c r="L11" s="5" t="str">
        <f t="shared" si="0"/>
        <v>Technical Guruji</v>
      </c>
      <c r="M11" s="5" t="str">
        <f t="shared" si="1"/>
        <v>TECHNICAL GURUJI</v>
      </c>
      <c r="N11" s="5" t="str">
        <f t="shared" si="2"/>
        <v>technical guruji</v>
      </c>
      <c r="O11" s="5" t="str">
        <f t="shared" si="3"/>
        <v>Technical Guruji</v>
      </c>
      <c r="P11" s="5">
        <f t="shared" si="4"/>
        <v>16</v>
      </c>
      <c r="W11" s="5" t="s">
        <v>17</v>
      </c>
      <c r="X11" t="str">
        <f t="shared" si="5"/>
        <v>Gaurav</v>
      </c>
      <c r="Y11" s="5"/>
      <c r="AI11" s="5" t="s">
        <v>59</v>
      </c>
      <c r="AJ11" s="5" t="str" cm="1">
        <f t="array" ref="AJ11:AK11">_xlfn.TEXTSPLIT(AI11," ")</f>
        <v>Amitabh</v>
      </c>
      <c r="AK11" s="5" t="str">
        <v>Bachchan</v>
      </c>
      <c r="AS11" s="5" t="s">
        <v>130</v>
      </c>
      <c r="AT11" s="5" t="str">
        <f t="shared" si="6"/>
        <v>Oct</v>
      </c>
      <c r="AU11" s="5" t="str">
        <f t="shared" si="7"/>
        <v>ber</v>
      </c>
      <c r="AV11" s="5" t="str">
        <f t="shared" si="8"/>
        <v>cto</v>
      </c>
      <c r="BE11" s="5" t="s">
        <v>130</v>
      </c>
      <c r="BF11" s="5" t="e">
        <f t="shared" si="9"/>
        <v>#VALUE!</v>
      </c>
      <c r="BG11" s="5" t="e">
        <f t="shared" si="10"/>
        <v>#VALUE!</v>
      </c>
      <c r="BN11" s="5" t="s">
        <v>17</v>
      </c>
      <c r="BO11" t="str">
        <f t="shared" si="11"/>
        <v xml:space="preserve">Gaurav </v>
      </c>
      <c r="BP11" s="5" t="str">
        <f t="shared" si="12"/>
        <v xml:space="preserve"> Chaudhary</v>
      </c>
      <c r="BX11" s="5" t="s">
        <v>17</v>
      </c>
      <c r="BY11" s="5" t="str">
        <f t="shared" si="13"/>
        <v>Gzurzv Chzudhzry</v>
      </c>
      <c r="BZ11" t="str">
        <f t="shared" si="14"/>
        <v>Gaurav zzzzz</v>
      </c>
    </row>
    <row r="12" spans="1:78" x14ac:dyDescent="0.3">
      <c r="A12" s="3">
        <v>11</v>
      </c>
      <c r="B12" s="3" t="s">
        <v>18</v>
      </c>
      <c r="C12" s="5" t="s">
        <v>19</v>
      </c>
      <c r="D12" s="10">
        <v>176</v>
      </c>
      <c r="E12" s="1"/>
      <c r="F12" s="1"/>
      <c r="G12" s="1"/>
      <c r="H12" s="1"/>
      <c r="J12" s="3">
        <v>11</v>
      </c>
      <c r="K12" s="3" t="s">
        <v>18</v>
      </c>
      <c r="L12" s="5" t="str">
        <f t="shared" si="0"/>
        <v>MrBeast</v>
      </c>
      <c r="M12" s="5" t="str">
        <f t="shared" si="1"/>
        <v>MRBEAST</v>
      </c>
      <c r="N12" s="5" t="str">
        <f t="shared" si="2"/>
        <v>mrbeast</v>
      </c>
      <c r="O12" s="5" t="str">
        <f t="shared" si="3"/>
        <v>Mrbeast</v>
      </c>
      <c r="P12" s="5">
        <f t="shared" si="4"/>
        <v>7</v>
      </c>
      <c r="W12" s="5" t="s">
        <v>19</v>
      </c>
      <c r="X12" t="str">
        <f t="shared" si="5"/>
        <v>Jimmy</v>
      </c>
      <c r="Y12" s="5"/>
      <c r="AI12" s="5" t="s">
        <v>60</v>
      </c>
      <c r="AJ12" s="5" t="str" cm="1">
        <f t="array" ref="AJ12:AK12">_xlfn.TEXTSPLIT(AI12," ")</f>
        <v>MS</v>
      </c>
      <c r="AK12" s="5" t="str">
        <v>Dhoni</v>
      </c>
      <c r="AS12" s="5" t="s">
        <v>131</v>
      </c>
      <c r="AT12" s="5" t="str">
        <f t="shared" si="6"/>
        <v>Nov</v>
      </c>
      <c r="AU12" s="5" t="str">
        <f t="shared" si="7"/>
        <v>ber</v>
      </c>
      <c r="AV12" s="5" t="str">
        <f t="shared" si="8"/>
        <v>ove</v>
      </c>
      <c r="BE12" s="5" t="s">
        <v>131</v>
      </c>
      <c r="BF12" s="5" t="e">
        <f t="shared" si="9"/>
        <v>#VALUE!</v>
      </c>
      <c r="BG12" s="5" t="e">
        <f t="shared" si="10"/>
        <v>#VALUE!</v>
      </c>
      <c r="BN12" s="5" t="s">
        <v>19</v>
      </c>
      <c r="BO12" t="str">
        <f>LEFT(BN12,FIND(" ",BN12))</f>
        <v xml:space="preserve">Jimmy </v>
      </c>
      <c r="BP12" s="5" t="str">
        <f t="shared" si="12"/>
        <v xml:space="preserve"> Donaldson</v>
      </c>
      <c r="BX12" s="5" t="s">
        <v>19</v>
      </c>
      <c r="BY12" s="5" t="str">
        <f t="shared" si="13"/>
        <v>Jimmy Donzldson</v>
      </c>
      <c r="BZ12" t="str">
        <f t="shared" si="14"/>
        <v>Jimmy Dzzzzz</v>
      </c>
    </row>
    <row r="13" spans="1:78" x14ac:dyDescent="0.3">
      <c r="A13" s="3">
        <v>12</v>
      </c>
      <c r="B13" s="4" t="s">
        <v>20</v>
      </c>
      <c r="C13" s="5" t="s">
        <v>21</v>
      </c>
      <c r="D13" s="10">
        <v>111</v>
      </c>
      <c r="E13" s="1"/>
      <c r="F13" s="1"/>
      <c r="G13" s="1"/>
      <c r="H13" s="1"/>
      <c r="J13" s="3">
        <v>12</v>
      </c>
      <c r="K13" s="4" t="s">
        <v>20</v>
      </c>
      <c r="L13" s="5" t="str">
        <f t="shared" si="0"/>
        <v>PEwdiePie</v>
      </c>
      <c r="M13" s="5" t="str">
        <f t="shared" si="1"/>
        <v>PEWDIEPIE</v>
      </c>
      <c r="N13" s="5" t="str">
        <f t="shared" si="2"/>
        <v>pewdiepie</v>
      </c>
      <c r="O13" s="5" t="str">
        <f t="shared" si="3"/>
        <v>Pewdiepie</v>
      </c>
      <c r="P13" s="5">
        <f t="shared" si="4"/>
        <v>9</v>
      </c>
      <c r="W13" s="5" t="s">
        <v>21</v>
      </c>
      <c r="X13" t="str">
        <f t="shared" si="5"/>
        <v>Felix</v>
      </c>
      <c r="Y13" s="5"/>
      <c r="AI13" s="5" t="s">
        <v>61</v>
      </c>
      <c r="AJ13" s="5" t="str" cm="1">
        <f t="array" ref="AJ13:AK13">_xlfn.TEXTSPLIT(AI13," ")</f>
        <v>Mickey</v>
      </c>
      <c r="AK13" s="5" t="str">
        <v>Mouse</v>
      </c>
      <c r="AS13" s="5" t="s">
        <v>132</v>
      </c>
      <c r="AT13" s="5" t="str">
        <f t="shared" si="6"/>
        <v>Dec</v>
      </c>
      <c r="AU13" s="5" t="str">
        <f t="shared" si="7"/>
        <v>ber</v>
      </c>
      <c r="AV13" s="5" t="str">
        <f t="shared" si="8"/>
        <v>ece</v>
      </c>
      <c r="BE13" s="5" t="s">
        <v>132</v>
      </c>
      <c r="BF13" s="5" t="e">
        <f t="shared" si="9"/>
        <v>#VALUE!</v>
      </c>
      <c r="BG13" s="5" t="e">
        <f t="shared" si="10"/>
        <v>#VALUE!</v>
      </c>
      <c r="BN13" s="5" t="s">
        <v>21</v>
      </c>
      <c r="BO13" t="str">
        <f t="shared" si="11"/>
        <v xml:space="preserve">Felix </v>
      </c>
      <c r="BP13" s="5" t="str">
        <f t="shared" si="12"/>
        <v xml:space="preserve"> Kjellberg</v>
      </c>
      <c r="BX13" s="5" t="s">
        <v>21</v>
      </c>
      <c r="BY13" s="5" t="str">
        <f t="shared" si="13"/>
        <v>Felix Kjellberg</v>
      </c>
      <c r="BZ13" t="str">
        <f t="shared" si="14"/>
        <v>Felix Kzzzzz</v>
      </c>
    </row>
    <row r="14" spans="1:78" x14ac:dyDescent="0.3">
      <c r="A14" s="3">
        <v>13</v>
      </c>
      <c r="B14" s="4" t="s">
        <v>39</v>
      </c>
      <c r="C14" s="5" t="s">
        <v>22</v>
      </c>
      <c r="D14" s="10">
        <v>78</v>
      </c>
      <c r="E14" s="1"/>
      <c r="F14" s="1"/>
      <c r="G14" s="1"/>
      <c r="H14" s="1"/>
      <c r="J14" s="3">
        <v>13</v>
      </c>
      <c r="K14" s="4" t="s">
        <v>39</v>
      </c>
      <c r="L14" s="5" t="str">
        <f t="shared" si="0"/>
        <v>5-minute CRAFTS</v>
      </c>
      <c r="M14" s="5" t="str">
        <f t="shared" si="1"/>
        <v>5-MINUTE CRAFTS</v>
      </c>
      <c r="N14" s="5" t="str">
        <f t="shared" si="2"/>
        <v>5-minute crafts</v>
      </c>
      <c r="O14" s="5" t="str">
        <f t="shared" si="3"/>
        <v>5-Minute Crafts</v>
      </c>
      <c r="P14" s="5">
        <f t="shared" si="4"/>
        <v>15</v>
      </c>
      <c r="W14" s="5" t="s">
        <v>22</v>
      </c>
      <c r="X14" t="str">
        <f t="shared" si="5"/>
        <v>THE</v>
      </c>
      <c r="Y14" s="5"/>
      <c r="AI14" s="5" t="s">
        <v>62</v>
      </c>
      <c r="AJ14" s="5" t="str" cm="1">
        <f t="array" ref="AJ14:AK14">_xlfn.TEXTSPLIT(AI14," ")</f>
        <v>Donald</v>
      </c>
      <c r="AK14" s="5" t="str">
        <v>Duck</v>
      </c>
      <c r="AS14" s="5" t="s">
        <v>121</v>
      </c>
      <c r="AT14" s="5" t="str">
        <f t="shared" si="6"/>
        <v>Jan</v>
      </c>
      <c r="AU14" s="5" t="str">
        <f t="shared" si="7"/>
        <v>ary</v>
      </c>
      <c r="AV14" s="5" t="str">
        <f t="shared" si="8"/>
        <v>anu</v>
      </c>
      <c r="BE14" s="5" t="s">
        <v>121</v>
      </c>
      <c r="BF14" s="5">
        <f t="shared" si="9"/>
        <v>2</v>
      </c>
      <c r="BG14" s="5">
        <f t="shared" si="10"/>
        <v>2</v>
      </c>
      <c r="BN14" s="5" t="s">
        <v>22</v>
      </c>
      <c r="BO14" t="str">
        <f t="shared" si="11"/>
        <v xml:space="preserve">THE </v>
      </c>
      <c r="BP14" s="5" t="str">
        <f t="shared" si="12"/>
        <v xml:space="preserve"> soul publishing</v>
      </c>
      <c r="BX14" s="5" t="s">
        <v>22</v>
      </c>
      <c r="BY14" s="5" t="str">
        <f t="shared" si="13"/>
        <v>THE soul publishing</v>
      </c>
      <c r="BZ14" t="str">
        <f t="shared" si="14"/>
        <v>THE souzzzzz</v>
      </c>
    </row>
    <row r="15" spans="1:78" x14ac:dyDescent="0.3">
      <c r="A15" s="3">
        <v>14</v>
      </c>
      <c r="B15" s="3" t="s">
        <v>23</v>
      </c>
      <c r="C15" s="5" t="s">
        <v>24</v>
      </c>
      <c r="D15" s="10">
        <v>106</v>
      </c>
      <c r="E15" s="1"/>
      <c r="F15" s="1"/>
      <c r="G15" s="1"/>
      <c r="H15" s="1"/>
      <c r="J15" s="3">
        <v>14</v>
      </c>
      <c r="K15" s="3" t="s">
        <v>23</v>
      </c>
      <c r="L15" s="5" t="str">
        <f t="shared" si="0"/>
        <v>likeNastia</v>
      </c>
      <c r="M15" s="5" t="str">
        <f t="shared" si="1"/>
        <v>LIKENASTIA</v>
      </c>
      <c r="N15" s="5" t="str">
        <f t="shared" si="2"/>
        <v>likenastia</v>
      </c>
      <c r="O15" s="5" t="str">
        <f t="shared" si="3"/>
        <v>Likenastia</v>
      </c>
      <c r="P15" s="5">
        <f t="shared" si="4"/>
        <v>10</v>
      </c>
      <c r="W15" s="5" t="s">
        <v>24</v>
      </c>
      <c r="X15" t="str">
        <f t="shared" si="5"/>
        <v>anastasia</v>
      </c>
      <c r="Y15" s="5"/>
      <c r="AI15" s="5" t="s">
        <v>63</v>
      </c>
      <c r="AJ15" s="5" t="str" cm="1">
        <f t="array" ref="AJ15:AK15">_xlfn.TEXTSPLIT(AI15," ")</f>
        <v>Dora</v>
      </c>
      <c r="AK15" s="5" t="str">
        <v>Explorer</v>
      </c>
      <c r="AS15" s="5"/>
      <c r="AT15" s="5"/>
      <c r="AU15" s="5"/>
      <c r="AV15" s="5"/>
      <c r="BN15" s="5" t="s">
        <v>24</v>
      </c>
      <c r="BO15" t="str">
        <f t="shared" si="11"/>
        <v xml:space="preserve">anastasia </v>
      </c>
      <c r="BP15" s="5" t="str">
        <f t="shared" si="12"/>
        <v xml:space="preserve"> radzinskaya</v>
      </c>
      <c r="BX15" s="5" t="s">
        <v>24</v>
      </c>
      <c r="BY15" s="5" t="str">
        <f t="shared" si="13"/>
        <v>znzstzsiz rzdzinskzyz</v>
      </c>
      <c r="BZ15" t="str">
        <f t="shared" si="14"/>
        <v>anastaszzzzz</v>
      </c>
    </row>
    <row r="16" spans="1:78" x14ac:dyDescent="0.3">
      <c r="A16" s="3">
        <v>15</v>
      </c>
      <c r="B16" s="3" t="s">
        <v>25</v>
      </c>
      <c r="C16" s="5" t="s">
        <v>26</v>
      </c>
      <c r="D16" s="10">
        <v>163</v>
      </c>
      <c r="E16" s="1"/>
      <c r="F16" s="1"/>
      <c r="G16" s="1"/>
      <c r="H16" s="1"/>
      <c r="J16" s="3">
        <v>15</v>
      </c>
      <c r="K16" s="3" t="s">
        <v>25</v>
      </c>
      <c r="L16" s="5" t="str">
        <f t="shared" si="0"/>
        <v>coComelon - Nursery rhymes</v>
      </c>
      <c r="M16" s="5" t="str">
        <f t="shared" si="1"/>
        <v>COCOMELON - NURSERY RHYMES</v>
      </c>
      <c r="N16" s="5" t="str">
        <f t="shared" si="2"/>
        <v>cocomelon - nursery rhymes</v>
      </c>
      <c r="O16" s="5" t="str">
        <f t="shared" si="3"/>
        <v>Cocomelon - Nursery Rhymes</v>
      </c>
      <c r="P16" s="5">
        <f t="shared" si="4"/>
        <v>26</v>
      </c>
      <c r="W16" s="5" t="s">
        <v>26</v>
      </c>
      <c r="X16" t="str">
        <f t="shared" si="5"/>
        <v>Jay</v>
      </c>
      <c r="Y16" s="5"/>
      <c r="AI16" s="5" t="s">
        <v>64</v>
      </c>
      <c r="AJ16" s="5" t="str" cm="1">
        <f t="array" ref="AJ16:AK16">_xlfn.TEXTSPLIT(AI16," ")</f>
        <v>SpongeBob</v>
      </c>
      <c r="AK16" s="5" t="str">
        <v>SquarePants</v>
      </c>
      <c r="BN16" s="5" t="s">
        <v>26</v>
      </c>
      <c r="BO16" t="str">
        <f t="shared" si="11"/>
        <v xml:space="preserve">Jay </v>
      </c>
      <c r="BP16" s="5" t="str">
        <f t="shared" si="12"/>
        <v xml:space="preserve"> Jeon</v>
      </c>
      <c r="BX16" s="5" t="s">
        <v>26</v>
      </c>
      <c r="BY16" s="5" t="str">
        <f t="shared" si="13"/>
        <v>Jzy Jeon</v>
      </c>
      <c r="BZ16" t="str">
        <f t="shared" si="14"/>
        <v>Jay Jeozzzzz</v>
      </c>
    </row>
    <row r="17" spans="1:77" x14ac:dyDescent="0.3">
      <c r="A17" s="3">
        <v>16</v>
      </c>
      <c r="B17" s="4" t="s">
        <v>46</v>
      </c>
      <c r="C17" s="5" t="s">
        <v>27</v>
      </c>
      <c r="D17" s="10">
        <v>66</v>
      </c>
      <c r="E17" s="1"/>
      <c r="F17" s="1"/>
      <c r="G17" s="1"/>
      <c r="H17" s="1"/>
      <c r="J17" s="3">
        <v>16</v>
      </c>
      <c r="K17" s="4" t="s">
        <v>46</v>
      </c>
      <c r="L17" s="5" t="str">
        <f t="shared" si="0"/>
        <v>Canal Kondzilla</v>
      </c>
      <c r="M17" s="5" t="str">
        <f t="shared" si="1"/>
        <v>CANAL KONDZILLA</v>
      </c>
      <c r="N17" s="5" t="str">
        <f t="shared" si="2"/>
        <v>canal kondzilla</v>
      </c>
      <c r="O17" s="5" t="str">
        <f t="shared" si="3"/>
        <v>Canal Kondzilla</v>
      </c>
      <c r="P17" s="5">
        <f t="shared" si="4"/>
        <v>15</v>
      </c>
      <c r="W17" s="5" t="s">
        <v>27</v>
      </c>
      <c r="X17" t="str">
        <f t="shared" si="5"/>
        <v>Konrad</v>
      </c>
      <c r="Y17" s="5"/>
      <c r="BN17" s="5" t="s">
        <v>27</v>
      </c>
      <c r="BO17" t="str">
        <f t="shared" si="11"/>
        <v xml:space="preserve">Konrad </v>
      </c>
      <c r="BP17" s="5"/>
      <c r="BX17" s="5" t="s">
        <v>27</v>
      </c>
      <c r="BY17" s="5" t="str">
        <f t="shared" si="13"/>
        <v>Konrzd Dzntzs</v>
      </c>
    </row>
    <row r="18" spans="1:77" x14ac:dyDescent="0.3">
      <c r="A18" s="3">
        <v>17</v>
      </c>
      <c r="B18" s="3" t="s">
        <v>28</v>
      </c>
      <c r="C18" s="5" t="s">
        <v>29</v>
      </c>
      <c r="D18" s="10">
        <v>115</v>
      </c>
      <c r="E18" s="1"/>
      <c r="F18" s="1"/>
      <c r="G18" s="1"/>
      <c r="H18" s="1"/>
      <c r="J18" s="3">
        <v>17</v>
      </c>
      <c r="K18" s="3" t="s">
        <v>28</v>
      </c>
      <c r="L18" s="5" t="str">
        <f t="shared" si="0"/>
        <v>kids D Iana Show</v>
      </c>
      <c r="M18" s="5" t="str">
        <f t="shared" si="1"/>
        <v>KIDS D IANA SHOW</v>
      </c>
      <c r="N18" s="5" t="str">
        <f t="shared" si="2"/>
        <v>kids d iana show</v>
      </c>
      <c r="O18" s="5" t="str">
        <f t="shared" si="3"/>
        <v>Kids D Iana Show</v>
      </c>
      <c r="P18" s="5">
        <f t="shared" si="4"/>
        <v>16</v>
      </c>
      <c r="W18" s="5" t="s">
        <v>119</v>
      </c>
      <c r="X18" t="str">
        <f t="shared" si="5"/>
        <v>Diana</v>
      </c>
      <c r="Y18" s="5"/>
      <c r="BN18" s="5" t="s">
        <v>119</v>
      </c>
      <c r="BO18" t="str">
        <f t="shared" si="11"/>
        <v xml:space="preserve">Diana </v>
      </c>
      <c r="BP18" s="5"/>
      <c r="BX18" s="5" t="s">
        <v>119</v>
      </c>
      <c r="BY18" s="5" t="str">
        <f t="shared" si="13"/>
        <v xml:space="preserve">Diznz </v>
      </c>
    </row>
    <row r="19" spans="1:77" x14ac:dyDescent="0.3">
      <c r="A19" s="3">
        <v>18</v>
      </c>
      <c r="B19" s="3" t="s">
        <v>30</v>
      </c>
      <c r="C19" s="5" t="s">
        <v>31</v>
      </c>
      <c r="D19" s="10">
        <v>44</v>
      </c>
      <c r="E19" s="1"/>
      <c r="F19" s="1"/>
      <c r="G19" s="1"/>
      <c r="H19" s="1"/>
      <c r="J19" s="3">
        <v>18</v>
      </c>
      <c r="K19" s="3" t="s">
        <v>30</v>
      </c>
      <c r="L19" s="5" t="str">
        <f t="shared" si="0"/>
        <v>Badabun</v>
      </c>
      <c r="M19" s="5" t="str">
        <f t="shared" si="1"/>
        <v>BADABUN</v>
      </c>
      <c r="N19" s="5" t="str">
        <f t="shared" si="2"/>
        <v>badabun</v>
      </c>
      <c r="O19" s="5" t="str">
        <f t="shared" si="3"/>
        <v>Badabun</v>
      </c>
      <c r="P19" s="5">
        <f t="shared" si="4"/>
        <v>7</v>
      </c>
      <c r="W19" s="5" t="s">
        <v>31</v>
      </c>
      <c r="X19" t="str">
        <f t="shared" si="5"/>
        <v>Various</v>
      </c>
      <c r="Y19" s="5"/>
      <c r="BN19" s="5" t="s">
        <v>31</v>
      </c>
      <c r="BO19" t="str">
        <f t="shared" si="11"/>
        <v xml:space="preserve">Various </v>
      </c>
      <c r="BP19" s="5"/>
      <c r="BX19" s="5" t="s">
        <v>31</v>
      </c>
      <c r="BY19" s="5" t="str">
        <f t="shared" si="13"/>
        <v>Vzrious Contributors</v>
      </c>
    </row>
    <row r="20" spans="1:77" x14ac:dyDescent="0.3">
      <c r="A20" s="3">
        <v>19</v>
      </c>
      <c r="B20" s="3" t="s">
        <v>32</v>
      </c>
      <c r="C20" s="5" t="s">
        <v>33</v>
      </c>
      <c r="D20" s="10">
        <v>25</v>
      </c>
      <c r="E20" s="1"/>
      <c r="F20" s="1"/>
      <c r="G20" s="1"/>
      <c r="H20" s="1"/>
      <c r="J20" s="3">
        <v>19</v>
      </c>
      <c r="K20" s="3" t="s">
        <v>32</v>
      </c>
      <c r="L20" s="5" t="str">
        <f t="shared" si="0"/>
        <v>VanossGaming</v>
      </c>
      <c r="M20" s="5" t="str">
        <f t="shared" si="1"/>
        <v>VANOSSGAMING</v>
      </c>
      <c r="N20" s="5" t="str">
        <f t="shared" si="2"/>
        <v>vanossgaming</v>
      </c>
      <c r="O20" s="5" t="str">
        <f t="shared" si="3"/>
        <v>Vanossgaming</v>
      </c>
      <c r="P20" s="5">
        <f t="shared" si="4"/>
        <v>12</v>
      </c>
      <c r="W20" s="5" t="s">
        <v>33</v>
      </c>
      <c r="X20" t="str">
        <f t="shared" si="5"/>
        <v>Evan</v>
      </c>
      <c r="Y20" s="5"/>
      <c r="BN20" s="5" t="s">
        <v>33</v>
      </c>
      <c r="BO20" t="str">
        <f t="shared" si="11"/>
        <v xml:space="preserve">Evan </v>
      </c>
      <c r="BP20" s="5"/>
      <c r="BX20" s="5" t="s">
        <v>33</v>
      </c>
      <c r="BY20" s="5" t="str">
        <f t="shared" si="13"/>
        <v>Evzn Fong</v>
      </c>
    </row>
    <row r="21" spans="1:77" x14ac:dyDescent="0.3">
      <c r="A21" s="3">
        <v>20</v>
      </c>
      <c r="B21" s="3" t="s">
        <v>34</v>
      </c>
      <c r="C21" s="5" t="s">
        <v>35</v>
      </c>
      <c r="D21" s="10">
        <v>35</v>
      </c>
      <c r="E21" s="1"/>
      <c r="F21" s="1"/>
      <c r="G21" s="1"/>
      <c r="H21" s="1"/>
      <c r="J21" s="3">
        <v>20</v>
      </c>
      <c r="K21" s="3" t="s">
        <v>34</v>
      </c>
      <c r="L21" s="5" t="str">
        <f t="shared" si="0"/>
        <v>Markiplier</v>
      </c>
      <c r="M21" s="5" t="str">
        <f t="shared" si="1"/>
        <v>MARKIPLIER</v>
      </c>
      <c r="N21" s="5" t="str">
        <f t="shared" si="2"/>
        <v>markiplier</v>
      </c>
      <c r="O21" s="5" t="str">
        <f t="shared" si="3"/>
        <v>Markiplier</v>
      </c>
      <c r="P21" s="5">
        <f t="shared" si="4"/>
        <v>10</v>
      </c>
      <c r="W21" s="5" t="s">
        <v>35</v>
      </c>
      <c r="X21" t="str">
        <f t="shared" si="5"/>
        <v>Mark</v>
      </c>
      <c r="Y21" s="5"/>
      <c r="BN21" s="5" t="s">
        <v>35</v>
      </c>
      <c r="BO21" t="str">
        <f t="shared" si="11"/>
        <v xml:space="preserve">Mark </v>
      </c>
      <c r="BP21" s="5"/>
      <c r="BX21" s="5" t="s">
        <v>35</v>
      </c>
      <c r="BY21" s="5" t="str">
        <f t="shared" si="13"/>
        <v>Mzrk Fischbzch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94A7-E993-463A-8157-B2BD59C05004}">
  <dimension ref="A1:CD23"/>
  <sheetViews>
    <sheetView showGridLines="0" topLeftCell="BD4" zoomScale="145" zoomScaleNormal="145" workbookViewId="0">
      <selection activeCell="BF3" sqref="BF3:BF21"/>
    </sheetView>
  </sheetViews>
  <sheetFormatPr defaultRowHeight="14.4" x14ac:dyDescent="0.3"/>
  <cols>
    <col min="1" max="1" width="16.33203125" bestFit="1" customWidth="1"/>
    <col min="2" max="2" width="13.21875" bestFit="1" customWidth="1"/>
    <col min="3" max="5" width="13.33203125" customWidth="1"/>
    <col min="13" max="16" width="17.109375" customWidth="1"/>
    <col min="17" max="17" width="19.21875" customWidth="1"/>
    <col min="27" max="28" width="18.5546875" customWidth="1"/>
    <col min="29" max="29" width="18.77734375" customWidth="1"/>
    <col min="30" max="30" width="26.33203125" customWidth="1"/>
    <col min="37" max="38" width="15.6640625" customWidth="1"/>
    <col min="39" max="39" width="24.33203125" customWidth="1"/>
    <col min="40" max="40" width="29" customWidth="1"/>
    <col min="41" max="41" width="30.109375" customWidth="1"/>
    <col min="42" max="42" width="14.21875" bestFit="1" customWidth="1"/>
    <col min="43" max="43" width="11.5546875" bestFit="1" customWidth="1"/>
    <col min="44" max="44" width="16.77734375" bestFit="1" customWidth="1"/>
    <col min="45" max="45" width="25.6640625" bestFit="1" customWidth="1"/>
    <col min="46" max="46" width="26.21875" customWidth="1"/>
    <col min="50" max="50" width="16.109375" customWidth="1"/>
    <col min="51" max="51" width="24.5546875" customWidth="1"/>
    <col min="58" max="58" width="16.77734375" bestFit="1" customWidth="1"/>
    <col min="59" max="59" width="23.77734375" customWidth="1"/>
    <col min="60" max="60" width="11.44140625" customWidth="1"/>
    <col min="61" max="62" width="17.21875" customWidth="1"/>
    <col min="73" max="73" width="25.88671875" customWidth="1"/>
    <col min="74" max="74" width="13.33203125" customWidth="1"/>
    <col min="75" max="75" width="18.21875" customWidth="1"/>
    <col min="76" max="76" width="23.33203125" customWidth="1"/>
    <col min="79" max="79" width="14.44140625" bestFit="1" customWidth="1"/>
    <col min="80" max="80" width="27.109375" customWidth="1"/>
    <col min="81" max="81" width="19.33203125" customWidth="1"/>
    <col min="82" max="82" width="18" customWidth="1"/>
  </cols>
  <sheetData>
    <row r="1" spans="1:82" ht="15.6" x14ac:dyDescent="0.3">
      <c r="A1" s="6" t="s">
        <v>69</v>
      </c>
      <c r="B1" s="6" t="s">
        <v>70</v>
      </c>
      <c r="C1" s="6" t="s">
        <v>66</v>
      </c>
      <c r="D1" s="6" t="s">
        <v>67</v>
      </c>
      <c r="E1" s="6" t="s">
        <v>68</v>
      </c>
      <c r="M1" s="6" t="s">
        <v>69</v>
      </c>
      <c r="N1" s="6" t="s">
        <v>70</v>
      </c>
      <c r="O1" s="6" t="s">
        <v>88</v>
      </c>
      <c r="P1" s="6" t="s">
        <v>87</v>
      </c>
      <c r="Q1" s="6" t="s">
        <v>86</v>
      </c>
      <c r="AA1" s="6" t="s">
        <v>101</v>
      </c>
      <c r="AB1" s="6" t="s">
        <v>89</v>
      </c>
      <c r="AC1" s="13" t="s">
        <v>90</v>
      </c>
      <c r="AD1" s="12" t="s">
        <v>102</v>
      </c>
      <c r="AK1" s="6" t="s">
        <v>101</v>
      </c>
      <c r="AL1" s="6" t="s">
        <v>89</v>
      </c>
      <c r="AM1" s="13" t="s">
        <v>103</v>
      </c>
      <c r="AN1" s="12" t="s">
        <v>102</v>
      </c>
      <c r="AP1" s="6" t="s">
        <v>101</v>
      </c>
      <c r="AQ1" s="6" t="s">
        <v>89</v>
      </c>
      <c r="AR1" s="13" t="s">
        <v>104</v>
      </c>
      <c r="AS1" s="12" t="s">
        <v>102</v>
      </c>
      <c r="AX1" s="15" t="s">
        <v>105</v>
      </c>
      <c r="AY1" s="20">
        <f ca="1">TODAY()</f>
        <v>45537</v>
      </c>
      <c r="BF1" s="85" t="s">
        <v>110</v>
      </c>
      <c r="BG1" s="85"/>
      <c r="BH1" s="85"/>
      <c r="BI1" s="85"/>
      <c r="BJ1" s="85"/>
      <c r="BU1" s="16" t="s">
        <v>111</v>
      </c>
      <c r="BV1" s="20">
        <v>45292</v>
      </c>
      <c r="BX1" s="27">
        <v>45317</v>
      </c>
      <c r="CA1" s="6" t="s">
        <v>101</v>
      </c>
      <c r="CB1" s="6" t="s">
        <v>115</v>
      </c>
      <c r="CC1" s="13" t="s">
        <v>116</v>
      </c>
      <c r="CD1" s="12" t="s">
        <v>117</v>
      </c>
    </row>
    <row r="2" spans="1:82" ht="15.6" x14ac:dyDescent="0.3">
      <c r="A2" s="5" t="s">
        <v>58</v>
      </c>
      <c r="B2" s="11">
        <v>26778</v>
      </c>
      <c r="C2" s="5">
        <f>DAY(B2)</f>
        <v>24</v>
      </c>
      <c r="D2" s="5">
        <f>MONTH(B2)</f>
        <v>4</v>
      </c>
      <c r="E2" s="5">
        <f>YEAR(B2)</f>
        <v>1973</v>
      </c>
      <c r="M2" s="5" t="s">
        <v>58</v>
      </c>
      <c r="N2" s="11">
        <v>26778</v>
      </c>
      <c r="O2" s="19">
        <f>N2</f>
        <v>26778</v>
      </c>
      <c r="P2" s="5">
        <f>WEEKDAY(N2)</f>
        <v>3</v>
      </c>
      <c r="Q2" s="5">
        <f>WEEKNUM(N2)</f>
        <v>17</v>
      </c>
      <c r="AA2" s="5" t="s">
        <v>91</v>
      </c>
      <c r="AB2" s="11">
        <v>45717</v>
      </c>
      <c r="AC2" s="5">
        <v>10</v>
      </c>
      <c r="AD2" s="11">
        <f>AB2+AC2</f>
        <v>45727</v>
      </c>
      <c r="AK2" s="5" t="s">
        <v>91</v>
      </c>
      <c r="AL2" s="11">
        <v>45717</v>
      </c>
      <c r="AM2" s="14">
        <v>7</v>
      </c>
      <c r="AN2" s="11">
        <f>EDATE(AL2,AM2)</f>
        <v>45931</v>
      </c>
      <c r="AP2" s="5" t="s">
        <v>91</v>
      </c>
      <c r="AQ2" s="11">
        <v>45717</v>
      </c>
      <c r="AR2" s="14">
        <v>7</v>
      </c>
      <c r="AS2" s="11">
        <f>EDATE(AQ2,AR2*12)</f>
        <v>48274</v>
      </c>
      <c r="AT2" s="11">
        <f>EDATE(AQ2,-AR2*12)</f>
        <v>43160</v>
      </c>
      <c r="AX2" s="15" t="s">
        <v>106</v>
      </c>
      <c r="AY2" s="21">
        <f ca="1">NOW()</f>
        <v>45537.364657986109</v>
      </c>
      <c r="BF2" s="6" t="s">
        <v>69</v>
      </c>
      <c r="BG2" s="6" t="s">
        <v>70</v>
      </c>
      <c r="BH2" s="6" t="s">
        <v>107</v>
      </c>
      <c r="BI2" s="6" t="s">
        <v>108</v>
      </c>
      <c r="BJ2" s="6" t="s">
        <v>109</v>
      </c>
      <c r="BU2" s="16" t="s">
        <v>112</v>
      </c>
      <c r="BV2" s="20">
        <v>45657</v>
      </c>
      <c r="BX2" s="27">
        <v>45519</v>
      </c>
      <c r="CA2" s="5" t="s">
        <v>91</v>
      </c>
      <c r="CB2" s="17">
        <v>45717.354166666664</v>
      </c>
      <c r="CC2" s="20">
        <f>INT(CB2)</f>
        <v>45717</v>
      </c>
      <c r="CD2" s="18">
        <f>CB2-INT(CB2)</f>
        <v>0.35416666666424135</v>
      </c>
    </row>
    <row r="3" spans="1:82" x14ac:dyDescent="0.3">
      <c r="A3" s="5" t="s">
        <v>56</v>
      </c>
      <c r="B3" s="11">
        <v>32452</v>
      </c>
      <c r="C3" s="5">
        <f t="shared" ref="C3:C21" si="0">DAY(B3)</f>
        <v>5</v>
      </c>
      <c r="D3" s="5">
        <f t="shared" ref="D3:D21" si="1">MONTH(B3)</f>
        <v>11</v>
      </c>
      <c r="E3" s="5">
        <f t="shared" ref="E3:E21" si="2">YEAR(B3)</f>
        <v>1988</v>
      </c>
      <c r="M3" s="5" t="s">
        <v>56</v>
      </c>
      <c r="N3" s="11">
        <v>32452</v>
      </c>
      <c r="O3" s="19">
        <f t="shared" ref="O3:O21" si="3">N3</f>
        <v>32452</v>
      </c>
      <c r="P3" s="5">
        <f t="shared" ref="P3:P21" si="4">WEEKDAY(N3)</f>
        <v>7</v>
      </c>
      <c r="Q3" s="5">
        <f t="shared" ref="Q3:Q21" si="5">WEEKNUM(N3)</f>
        <v>45</v>
      </c>
      <c r="AA3" s="5" t="s">
        <v>92</v>
      </c>
      <c r="AB3" s="11">
        <v>45719</v>
      </c>
      <c r="AC3" s="5">
        <v>20</v>
      </c>
      <c r="AD3" s="11">
        <f t="shared" ref="AD3:AD11" si="6">AB3+AC3</f>
        <v>45739</v>
      </c>
      <c r="AK3" s="5" t="s">
        <v>92</v>
      </c>
      <c r="AL3" s="11">
        <v>45719</v>
      </c>
      <c r="AM3" s="14">
        <v>4</v>
      </c>
      <c r="AN3" s="11">
        <f t="shared" ref="AN3:AN11" si="7">EDATE(AL3,AM3)</f>
        <v>45841</v>
      </c>
      <c r="AP3" s="5" t="s">
        <v>92</v>
      </c>
      <c r="AQ3" s="11">
        <v>45719</v>
      </c>
      <c r="AR3" s="14">
        <v>4</v>
      </c>
      <c r="AS3" s="11">
        <f t="shared" ref="AS3:AS11" si="8">EDATE(AQ3,AR3*12)</f>
        <v>47180</v>
      </c>
      <c r="AT3" s="11">
        <f t="shared" ref="AT3:AT11" si="9">EDATE(AQ3,-AR3*12)</f>
        <v>44258</v>
      </c>
      <c r="BF3" s="5" t="s">
        <v>58</v>
      </c>
      <c r="BG3" s="11">
        <v>26778</v>
      </c>
      <c r="BH3" s="22">
        <f ca="1">DATEDIF(BG3,TODAY(),"Y")</f>
        <v>51</v>
      </c>
      <c r="BI3" s="22">
        <f ca="1">DATEDIF(BG3,TODAY(),"YM")</f>
        <v>4</v>
      </c>
      <c r="BJ3" s="22">
        <f ca="1">DATEDIF(BG3,TODAY(), "MD")</f>
        <v>9</v>
      </c>
      <c r="BX3" s="27">
        <v>45657</v>
      </c>
      <c r="CA3" s="5" t="s">
        <v>92</v>
      </c>
      <c r="CB3" s="17">
        <v>45719.614583333336</v>
      </c>
      <c r="CC3" s="20">
        <f t="shared" ref="CC3:CC11" si="10">INT(CB3)</f>
        <v>45719</v>
      </c>
      <c r="CD3" s="18">
        <f t="shared" ref="CD3:CD11" si="11">CB3-INT(CB3)</f>
        <v>0.61458333333575865</v>
      </c>
    </row>
    <row r="4" spans="1:82" x14ac:dyDescent="0.3">
      <c r="A4" s="5" t="s">
        <v>57</v>
      </c>
      <c r="B4" s="11">
        <v>24048</v>
      </c>
      <c r="C4" s="5">
        <f t="shared" si="0"/>
        <v>2</v>
      </c>
      <c r="D4" s="5">
        <f t="shared" si="1"/>
        <v>11</v>
      </c>
      <c r="E4" s="5">
        <f t="shared" si="2"/>
        <v>1965</v>
      </c>
      <c r="M4" s="5" t="s">
        <v>57</v>
      </c>
      <c r="N4" s="11">
        <v>24048</v>
      </c>
      <c r="O4" s="19">
        <f t="shared" si="3"/>
        <v>24048</v>
      </c>
      <c r="P4" s="5">
        <f t="shared" si="4"/>
        <v>3</v>
      </c>
      <c r="Q4" s="5">
        <f t="shared" si="5"/>
        <v>45</v>
      </c>
      <c r="AA4" s="5" t="s">
        <v>93</v>
      </c>
      <c r="AB4" s="11">
        <v>45721</v>
      </c>
      <c r="AC4" s="5">
        <v>15</v>
      </c>
      <c r="AD4" s="11">
        <f t="shared" si="6"/>
        <v>45736</v>
      </c>
      <c r="AK4" s="5" t="s">
        <v>93</v>
      </c>
      <c r="AL4" s="11">
        <v>45721</v>
      </c>
      <c r="AM4" s="14">
        <v>2</v>
      </c>
      <c r="AN4" s="11">
        <f t="shared" si="7"/>
        <v>45782</v>
      </c>
      <c r="AP4" s="5" t="s">
        <v>93</v>
      </c>
      <c r="AQ4" s="11">
        <v>45721</v>
      </c>
      <c r="AR4" s="14">
        <v>2</v>
      </c>
      <c r="AS4" s="11">
        <f t="shared" si="8"/>
        <v>46451</v>
      </c>
      <c r="AT4" s="11">
        <f t="shared" si="9"/>
        <v>44990</v>
      </c>
      <c r="BF4" s="5" t="s">
        <v>56</v>
      </c>
      <c r="BG4" s="11">
        <v>32452</v>
      </c>
      <c r="BH4" s="22">
        <f t="shared" ref="BH4:BH23" ca="1" si="12">DATEDIF(BG4,TODAY(),"Y")</f>
        <v>35</v>
      </c>
      <c r="BI4" s="22">
        <f t="shared" ref="BI4:BI23" ca="1" si="13">DATEDIF(BG4,TODAY(),"YM")</f>
        <v>9</v>
      </c>
      <c r="BJ4" s="22">
        <f t="shared" ref="BJ4:BJ23" ca="1" si="14">DATEDIF(BG4,TODAY(), "MD")</f>
        <v>28</v>
      </c>
      <c r="BX4" s="27">
        <v>36249</v>
      </c>
      <c r="CA4" s="5" t="s">
        <v>93</v>
      </c>
      <c r="CB4" s="17">
        <v>45721.385416666664</v>
      </c>
      <c r="CC4" s="20">
        <f t="shared" si="10"/>
        <v>45721</v>
      </c>
      <c r="CD4" s="18">
        <f t="shared" si="11"/>
        <v>0.38541666666424135</v>
      </c>
    </row>
    <row r="5" spans="1:82" ht="15.6" x14ac:dyDescent="0.3">
      <c r="A5" s="5" t="s">
        <v>71</v>
      </c>
      <c r="B5" s="11">
        <v>30150</v>
      </c>
      <c r="C5" s="5">
        <f t="shared" si="0"/>
        <v>18</v>
      </c>
      <c r="D5" s="5">
        <f t="shared" si="1"/>
        <v>7</v>
      </c>
      <c r="E5" s="5">
        <f t="shared" si="2"/>
        <v>1982</v>
      </c>
      <c r="M5" s="5" t="s">
        <v>71</v>
      </c>
      <c r="N5" s="11">
        <v>30150</v>
      </c>
      <c r="O5" s="19">
        <f t="shared" si="3"/>
        <v>30150</v>
      </c>
      <c r="P5" s="5">
        <f t="shared" si="4"/>
        <v>1</v>
      </c>
      <c r="Q5" s="5">
        <f t="shared" si="5"/>
        <v>30</v>
      </c>
      <c r="AA5" s="5" t="s">
        <v>94</v>
      </c>
      <c r="AB5" s="11">
        <v>45723</v>
      </c>
      <c r="AC5" s="5">
        <v>25</v>
      </c>
      <c r="AD5" s="11">
        <f t="shared" si="6"/>
        <v>45748</v>
      </c>
      <c r="AK5" s="5" t="s">
        <v>94</v>
      </c>
      <c r="AL5" s="11">
        <v>45723</v>
      </c>
      <c r="AM5" s="14">
        <v>10</v>
      </c>
      <c r="AN5" s="11">
        <f t="shared" si="7"/>
        <v>46029</v>
      </c>
      <c r="AP5" s="5" t="s">
        <v>94</v>
      </c>
      <c r="AQ5" s="11">
        <v>45723</v>
      </c>
      <c r="AR5" s="14">
        <v>10</v>
      </c>
      <c r="AS5" s="11">
        <f t="shared" si="8"/>
        <v>49375</v>
      </c>
      <c r="AT5" s="11">
        <f t="shared" si="9"/>
        <v>42070</v>
      </c>
      <c r="BF5" s="5" t="s">
        <v>57</v>
      </c>
      <c r="BG5" s="11">
        <v>24048</v>
      </c>
      <c r="BH5" s="22">
        <f t="shared" ca="1" si="12"/>
        <v>58</v>
      </c>
      <c r="BI5" s="22">
        <f t="shared" ca="1" si="13"/>
        <v>10</v>
      </c>
      <c r="BJ5" s="22">
        <f t="shared" ca="1" si="14"/>
        <v>0</v>
      </c>
      <c r="BU5" s="16" t="s">
        <v>113</v>
      </c>
      <c r="BV5" s="5">
        <f>BV2-BV1</f>
        <v>365</v>
      </c>
      <c r="CA5" s="5" t="s">
        <v>94</v>
      </c>
      <c r="CB5" s="17">
        <v>45723.666666666664</v>
      </c>
      <c r="CC5" s="20">
        <f t="shared" si="10"/>
        <v>45723</v>
      </c>
      <c r="CD5" s="18">
        <f t="shared" si="11"/>
        <v>0.66666666666424135</v>
      </c>
    </row>
    <row r="6" spans="1:82" ht="15.6" x14ac:dyDescent="0.3">
      <c r="A6" s="5" t="s">
        <v>72</v>
      </c>
      <c r="B6" s="11">
        <v>31417</v>
      </c>
      <c r="C6" s="5">
        <f t="shared" si="0"/>
        <v>5</v>
      </c>
      <c r="D6" s="5">
        <f t="shared" si="1"/>
        <v>1</v>
      </c>
      <c r="E6" s="5">
        <f t="shared" si="2"/>
        <v>1986</v>
      </c>
      <c r="M6" s="5" t="s">
        <v>72</v>
      </c>
      <c r="N6" s="11">
        <v>31417</v>
      </c>
      <c r="O6" s="19">
        <f t="shared" si="3"/>
        <v>31417</v>
      </c>
      <c r="P6" s="5">
        <f t="shared" si="4"/>
        <v>1</v>
      </c>
      <c r="Q6" s="5">
        <f t="shared" si="5"/>
        <v>2</v>
      </c>
      <c r="AA6" s="5" t="s">
        <v>95</v>
      </c>
      <c r="AB6" s="11">
        <v>45726</v>
      </c>
      <c r="AC6" s="5">
        <v>30</v>
      </c>
      <c r="AD6" s="11">
        <f t="shared" si="6"/>
        <v>45756</v>
      </c>
      <c r="AK6" s="5" t="s">
        <v>95</v>
      </c>
      <c r="AL6" s="11">
        <v>45726</v>
      </c>
      <c r="AM6" s="14">
        <v>9</v>
      </c>
      <c r="AN6" s="11">
        <f t="shared" si="7"/>
        <v>46001</v>
      </c>
      <c r="AP6" s="5" t="s">
        <v>95</v>
      </c>
      <c r="AQ6" s="11">
        <v>45726</v>
      </c>
      <c r="AR6" s="14">
        <v>9</v>
      </c>
      <c r="AS6" s="11">
        <f t="shared" si="8"/>
        <v>49013</v>
      </c>
      <c r="AT6" s="11">
        <f t="shared" si="9"/>
        <v>42439</v>
      </c>
      <c r="BF6" s="5" t="s">
        <v>71</v>
      </c>
      <c r="BG6" s="11">
        <v>30150</v>
      </c>
      <c r="BH6" s="22">
        <f t="shared" ca="1" si="12"/>
        <v>42</v>
      </c>
      <c r="BI6" s="22">
        <f t="shared" ca="1" si="13"/>
        <v>1</v>
      </c>
      <c r="BJ6" s="22">
        <f t="shared" ca="1" si="14"/>
        <v>15</v>
      </c>
      <c r="BU6" s="16" t="s">
        <v>114</v>
      </c>
      <c r="BV6" s="5">
        <f>NETWORKDAYS(BV1,BV2)</f>
        <v>262</v>
      </c>
      <c r="CA6" s="5" t="s">
        <v>95</v>
      </c>
      <c r="CB6" s="17">
        <v>45726.458333333336</v>
      </c>
      <c r="CC6" s="20">
        <f t="shared" si="10"/>
        <v>45726</v>
      </c>
      <c r="CD6" s="18">
        <f t="shared" si="11"/>
        <v>0.45833333333575865</v>
      </c>
    </row>
    <row r="7" spans="1:82" ht="15.6" x14ac:dyDescent="0.3">
      <c r="A7" s="5" t="s">
        <v>60</v>
      </c>
      <c r="B7" s="11">
        <v>29774</v>
      </c>
      <c r="C7" s="5">
        <f t="shared" si="0"/>
        <v>7</v>
      </c>
      <c r="D7" s="5">
        <f t="shared" si="1"/>
        <v>7</v>
      </c>
      <c r="E7" s="5">
        <f t="shared" si="2"/>
        <v>1981</v>
      </c>
      <c r="M7" s="5" t="s">
        <v>60</v>
      </c>
      <c r="N7" s="11">
        <v>29774</v>
      </c>
      <c r="O7" s="19">
        <f t="shared" si="3"/>
        <v>29774</v>
      </c>
      <c r="P7" s="5">
        <f t="shared" si="4"/>
        <v>3</v>
      </c>
      <c r="Q7" s="5">
        <f t="shared" si="5"/>
        <v>28</v>
      </c>
      <c r="AA7" s="5" t="s">
        <v>96</v>
      </c>
      <c r="AB7" s="11">
        <v>45728</v>
      </c>
      <c r="AC7" s="5">
        <v>45</v>
      </c>
      <c r="AD7" s="11">
        <f t="shared" si="6"/>
        <v>45773</v>
      </c>
      <c r="AK7" s="5" t="s">
        <v>96</v>
      </c>
      <c r="AL7" s="11">
        <v>45728</v>
      </c>
      <c r="AM7" s="14">
        <v>2</v>
      </c>
      <c r="AN7" s="11">
        <f t="shared" si="7"/>
        <v>45789</v>
      </c>
      <c r="AP7" s="5" t="s">
        <v>96</v>
      </c>
      <c r="AQ7" s="11">
        <v>45728</v>
      </c>
      <c r="AR7" s="14">
        <v>2</v>
      </c>
      <c r="AS7" s="11">
        <f t="shared" si="8"/>
        <v>46458</v>
      </c>
      <c r="AT7" s="11">
        <f t="shared" si="9"/>
        <v>44997</v>
      </c>
      <c r="BF7" s="5" t="s">
        <v>72</v>
      </c>
      <c r="BG7" s="11">
        <v>31417</v>
      </c>
      <c r="BH7" s="22">
        <f t="shared" ca="1" si="12"/>
        <v>38</v>
      </c>
      <c r="BI7" s="22">
        <f t="shared" ca="1" si="13"/>
        <v>7</v>
      </c>
      <c r="BJ7" s="22">
        <f t="shared" ca="1" si="14"/>
        <v>28</v>
      </c>
      <c r="BU7" s="26" t="s">
        <v>141</v>
      </c>
      <c r="BV7">
        <f>NETWORKDAYS.INTL(BV1,BV2,3)</f>
        <v>260</v>
      </c>
      <c r="CA7" s="5" t="s">
        <v>96</v>
      </c>
      <c r="CB7" s="17">
        <v>45728.5625</v>
      </c>
      <c r="CC7" s="20">
        <f t="shared" si="10"/>
        <v>45728</v>
      </c>
      <c r="CD7" s="18">
        <f t="shared" si="11"/>
        <v>0.5625</v>
      </c>
    </row>
    <row r="8" spans="1:82" x14ac:dyDescent="0.3">
      <c r="A8" s="5" t="s">
        <v>59</v>
      </c>
      <c r="B8" s="11">
        <v>15625</v>
      </c>
      <c r="C8" s="5">
        <f t="shared" si="0"/>
        <v>11</v>
      </c>
      <c r="D8" s="5">
        <f t="shared" si="1"/>
        <v>10</v>
      </c>
      <c r="E8" s="5">
        <f t="shared" si="2"/>
        <v>1942</v>
      </c>
      <c r="M8" s="5" t="s">
        <v>59</v>
      </c>
      <c r="N8" s="11">
        <v>15625</v>
      </c>
      <c r="O8" s="19">
        <f t="shared" si="3"/>
        <v>15625</v>
      </c>
      <c r="P8" s="5">
        <f t="shared" si="4"/>
        <v>1</v>
      </c>
      <c r="Q8" s="5">
        <f t="shared" si="5"/>
        <v>42</v>
      </c>
      <c r="AA8" s="5" t="s">
        <v>97</v>
      </c>
      <c r="AB8" s="11">
        <v>45731</v>
      </c>
      <c r="AC8" s="5">
        <v>5</v>
      </c>
      <c r="AD8" s="11">
        <f t="shared" si="6"/>
        <v>45736</v>
      </c>
      <c r="AK8" s="5" t="s">
        <v>97</v>
      </c>
      <c r="AL8" s="11">
        <v>45731</v>
      </c>
      <c r="AM8" s="14">
        <v>1</v>
      </c>
      <c r="AN8" s="11">
        <f t="shared" si="7"/>
        <v>45762</v>
      </c>
      <c r="AP8" s="5" t="s">
        <v>97</v>
      </c>
      <c r="AQ8" s="11">
        <v>45731</v>
      </c>
      <c r="AR8" s="14">
        <v>1</v>
      </c>
      <c r="AS8" s="11">
        <f t="shared" si="8"/>
        <v>46096</v>
      </c>
      <c r="AT8" s="11">
        <f t="shared" si="9"/>
        <v>45366</v>
      </c>
      <c r="BF8" s="5" t="s">
        <v>60</v>
      </c>
      <c r="BG8" s="11">
        <v>29774</v>
      </c>
      <c r="BH8" s="22">
        <f t="shared" ca="1" si="12"/>
        <v>43</v>
      </c>
      <c r="BI8" s="22">
        <f t="shared" ca="1" si="13"/>
        <v>1</v>
      </c>
      <c r="BJ8" s="22">
        <f t="shared" ca="1" si="14"/>
        <v>26</v>
      </c>
      <c r="CA8" s="5" t="s">
        <v>97</v>
      </c>
      <c r="CB8" s="17">
        <v>45731.291666666664</v>
      </c>
      <c r="CC8" s="20">
        <f t="shared" si="10"/>
        <v>45731</v>
      </c>
      <c r="CD8" s="18">
        <f t="shared" si="11"/>
        <v>0.29166666666424135</v>
      </c>
    </row>
    <row r="9" spans="1:82" x14ac:dyDescent="0.3">
      <c r="A9" s="5" t="s">
        <v>73</v>
      </c>
      <c r="B9" s="11">
        <v>32949</v>
      </c>
      <c r="C9" s="5">
        <f t="shared" si="0"/>
        <v>17</v>
      </c>
      <c r="D9" s="5">
        <f t="shared" si="1"/>
        <v>3</v>
      </c>
      <c r="E9" s="5">
        <f t="shared" si="2"/>
        <v>1990</v>
      </c>
      <c r="M9" s="5" t="s">
        <v>73</v>
      </c>
      <c r="N9" s="11">
        <v>32949</v>
      </c>
      <c r="O9" s="19">
        <f t="shared" si="3"/>
        <v>32949</v>
      </c>
      <c r="P9" s="5">
        <f t="shared" si="4"/>
        <v>7</v>
      </c>
      <c r="Q9" s="5">
        <f t="shared" si="5"/>
        <v>11</v>
      </c>
      <c r="AA9" s="5" t="s">
        <v>98</v>
      </c>
      <c r="AB9" s="11">
        <v>45734</v>
      </c>
      <c r="AC9" s="5">
        <v>60</v>
      </c>
      <c r="AD9" s="11">
        <f t="shared" si="6"/>
        <v>45794</v>
      </c>
      <c r="AK9" s="5" t="s">
        <v>98</v>
      </c>
      <c r="AL9" s="11">
        <v>45734</v>
      </c>
      <c r="AM9" s="14">
        <v>6</v>
      </c>
      <c r="AN9" s="11">
        <f t="shared" si="7"/>
        <v>45918</v>
      </c>
      <c r="AP9" s="5" t="s">
        <v>98</v>
      </c>
      <c r="AQ9" s="11">
        <v>45734</v>
      </c>
      <c r="AR9" s="14">
        <v>6</v>
      </c>
      <c r="AS9" s="11">
        <f t="shared" si="8"/>
        <v>47925</v>
      </c>
      <c r="AT9" s="11">
        <f t="shared" si="9"/>
        <v>43542</v>
      </c>
      <c r="BF9" s="5" t="s">
        <v>59</v>
      </c>
      <c r="BG9" s="11">
        <v>15625</v>
      </c>
      <c r="BH9" s="22">
        <f t="shared" ca="1" si="12"/>
        <v>81</v>
      </c>
      <c r="BI9" s="22">
        <f t="shared" ca="1" si="13"/>
        <v>10</v>
      </c>
      <c r="BJ9" s="22">
        <f t="shared" ca="1" si="14"/>
        <v>22</v>
      </c>
      <c r="BV9">
        <f>NETWORKDAYS(BV1,BV2,BX1:BX4)</f>
        <v>259</v>
      </c>
      <c r="CA9" s="5" t="s">
        <v>98</v>
      </c>
      <c r="CB9" s="17">
        <v>45734.760416666664</v>
      </c>
      <c r="CC9" s="20">
        <f t="shared" si="10"/>
        <v>45734</v>
      </c>
      <c r="CD9" s="18">
        <f t="shared" si="11"/>
        <v>0.76041666666424135</v>
      </c>
    </row>
    <row r="10" spans="1:82" x14ac:dyDescent="0.3">
      <c r="A10" s="5" t="s">
        <v>74</v>
      </c>
      <c r="B10" s="11">
        <v>31897</v>
      </c>
      <c r="C10" s="5">
        <f t="shared" si="0"/>
        <v>30</v>
      </c>
      <c r="D10" s="5">
        <f t="shared" si="1"/>
        <v>4</v>
      </c>
      <c r="E10" s="5">
        <f t="shared" si="2"/>
        <v>1987</v>
      </c>
      <c r="M10" s="5" t="s">
        <v>74</v>
      </c>
      <c r="N10" s="11">
        <v>31897</v>
      </c>
      <c r="O10" s="19">
        <f t="shared" si="3"/>
        <v>31897</v>
      </c>
      <c r="P10" s="5">
        <f t="shared" si="4"/>
        <v>5</v>
      </c>
      <c r="Q10" s="5">
        <f t="shared" si="5"/>
        <v>18</v>
      </c>
      <c r="AA10" s="5" t="s">
        <v>99</v>
      </c>
      <c r="AB10" s="11">
        <v>45736</v>
      </c>
      <c r="AC10" s="5">
        <v>40</v>
      </c>
      <c r="AD10" s="11">
        <f t="shared" si="6"/>
        <v>45776</v>
      </c>
      <c r="AK10" s="5" t="s">
        <v>99</v>
      </c>
      <c r="AL10" s="11">
        <v>45736</v>
      </c>
      <c r="AM10" s="14">
        <v>7</v>
      </c>
      <c r="AN10" s="11">
        <f t="shared" si="7"/>
        <v>45950</v>
      </c>
      <c r="AP10" s="5" t="s">
        <v>99</v>
      </c>
      <c r="AQ10" s="11">
        <v>45736</v>
      </c>
      <c r="AR10" s="14">
        <v>7</v>
      </c>
      <c r="AS10" s="11">
        <f t="shared" si="8"/>
        <v>48293</v>
      </c>
      <c r="AT10" s="11">
        <f t="shared" si="9"/>
        <v>43179</v>
      </c>
      <c r="BF10" s="5" t="s">
        <v>73</v>
      </c>
      <c r="BG10" s="11">
        <v>32949</v>
      </c>
      <c r="BH10" s="22">
        <f t="shared" ca="1" si="12"/>
        <v>34</v>
      </c>
      <c r="BI10" s="22">
        <f t="shared" ca="1" si="13"/>
        <v>5</v>
      </c>
      <c r="BJ10" s="22">
        <f t="shared" ca="1" si="14"/>
        <v>16</v>
      </c>
      <c r="CA10" s="5" t="s">
        <v>99</v>
      </c>
      <c r="CB10" s="17">
        <v>45736.447916666664</v>
      </c>
      <c r="CC10" s="20">
        <f t="shared" si="10"/>
        <v>45736</v>
      </c>
      <c r="CD10" s="18">
        <f t="shared" si="11"/>
        <v>0.44791666666424135</v>
      </c>
    </row>
    <row r="11" spans="1:82" x14ac:dyDescent="0.3">
      <c r="A11" s="5" t="s">
        <v>75</v>
      </c>
      <c r="B11" s="11">
        <v>26969</v>
      </c>
      <c r="C11" s="5">
        <f t="shared" si="0"/>
        <v>1</v>
      </c>
      <c r="D11" s="5">
        <f t="shared" si="1"/>
        <v>11</v>
      </c>
      <c r="E11" s="5">
        <f t="shared" si="2"/>
        <v>1973</v>
      </c>
      <c r="M11" s="5" t="s">
        <v>75</v>
      </c>
      <c r="N11" s="11">
        <v>26969</v>
      </c>
      <c r="O11" s="19">
        <f t="shared" si="3"/>
        <v>26969</v>
      </c>
      <c r="P11" s="5">
        <f t="shared" si="4"/>
        <v>5</v>
      </c>
      <c r="Q11" s="5">
        <f t="shared" si="5"/>
        <v>44</v>
      </c>
      <c r="AA11" s="5" t="s">
        <v>100</v>
      </c>
      <c r="AB11" s="11">
        <v>45741</v>
      </c>
      <c r="AC11" s="5">
        <v>35</v>
      </c>
      <c r="AD11" s="11">
        <f t="shared" si="6"/>
        <v>45776</v>
      </c>
      <c r="AK11" s="5" t="s">
        <v>100</v>
      </c>
      <c r="AL11" s="11">
        <v>45741</v>
      </c>
      <c r="AM11" s="14">
        <v>6</v>
      </c>
      <c r="AN11" s="11">
        <f t="shared" si="7"/>
        <v>45925</v>
      </c>
      <c r="AP11" s="5" t="s">
        <v>100</v>
      </c>
      <c r="AQ11" s="11">
        <v>45741</v>
      </c>
      <c r="AR11" s="14">
        <v>6</v>
      </c>
      <c r="AS11" s="11">
        <f t="shared" si="8"/>
        <v>47932</v>
      </c>
      <c r="AT11" s="11">
        <f t="shared" si="9"/>
        <v>43549</v>
      </c>
      <c r="BF11" s="5" t="s">
        <v>74</v>
      </c>
      <c r="BG11" s="11">
        <v>31897</v>
      </c>
      <c r="BH11" s="22">
        <f t="shared" ca="1" si="12"/>
        <v>37</v>
      </c>
      <c r="BI11" s="22">
        <f t="shared" ca="1" si="13"/>
        <v>4</v>
      </c>
      <c r="BJ11" s="22">
        <f t="shared" ca="1" si="14"/>
        <v>3</v>
      </c>
      <c r="CA11" s="5" t="s">
        <v>100</v>
      </c>
      <c r="CB11" s="17">
        <v>45741.645833333336</v>
      </c>
      <c r="CC11" s="20">
        <f t="shared" si="10"/>
        <v>45741</v>
      </c>
      <c r="CD11" s="18">
        <f t="shared" si="11"/>
        <v>0.64583333333575865</v>
      </c>
    </row>
    <row r="12" spans="1:82" x14ac:dyDescent="0.3">
      <c r="A12" s="5" t="s">
        <v>76</v>
      </c>
      <c r="B12" s="11">
        <v>31952</v>
      </c>
      <c r="C12" s="5">
        <f t="shared" si="0"/>
        <v>24</v>
      </c>
      <c r="D12" s="5">
        <f t="shared" si="1"/>
        <v>6</v>
      </c>
      <c r="E12" s="5">
        <f t="shared" si="2"/>
        <v>1987</v>
      </c>
      <c r="M12" s="5" t="s">
        <v>76</v>
      </c>
      <c r="N12" s="11">
        <v>31952</v>
      </c>
      <c r="O12" s="19">
        <f t="shared" si="3"/>
        <v>31952</v>
      </c>
      <c r="P12" s="5">
        <f t="shared" si="4"/>
        <v>4</v>
      </c>
      <c r="Q12" s="5">
        <f t="shared" si="5"/>
        <v>26</v>
      </c>
      <c r="BF12" s="5" t="s">
        <v>75</v>
      </c>
      <c r="BG12" s="11">
        <v>26969</v>
      </c>
      <c r="BH12" s="22">
        <f t="shared" ca="1" si="12"/>
        <v>50</v>
      </c>
      <c r="BI12" s="22">
        <f t="shared" ca="1" si="13"/>
        <v>10</v>
      </c>
      <c r="BJ12" s="22">
        <f t="shared" ca="1" si="14"/>
        <v>1</v>
      </c>
    </row>
    <row r="13" spans="1:82" x14ac:dyDescent="0.3">
      <c r="A13" s="5" t="s">
        <v>77</v>
      </c>
      <c r="B13" s="11">
        <v>31083</v>
      </c>
      <c r="C13" s="5">
        <f t="shared" si="0"/>
        <v>5</v>
      </c>
      <c r="D13" s="5">
        <f t="shared" si="1"/>
        <v>2</v>
      </c>
      <c r="E13" s="5">
        <f t="shared" si="2"/>
        <v>1985</v>
      </c>
      <c r="M13" s="5" t="s">
        <v>77</v>
      </c>
      <c r="N13" s="11">
        <v>31083</v>
      </c>
      <c r="O13" s="19">
        <f t="shared" si="3"/>
        <v>31083</v>
      </c>
      <c r="P13" s="5">
        <f t="shared" si="4"/>
        <v>3</v>
      </c>
      <c r="Q13" s="5">
        <f t="shared" si="5"/>
        <v>6</v>
      </c>
      <c r="BF13" s="5" t="s">
        <v>76</v>
      </c>
      <c r="BG13" s="11">
        <v>31952</v>
      </c>
      <c r="BH13" s="22">
        <f t="shared" ca="1" si="12"/>
        <v>37</v>
      </c>
      <c r="BI13" s="22">
        <f t="shared" ca="1" si="13"/>
        <v>2</v>
      </c>
      <c r="BJ13" s="22">
        <f t="shared" ca="1" si="14"/>
        <v>9</v>
      </c>
    </row>
    <row r="14" spans="1:82" x14ac:dyDescent="0.3">
      <c r="A14" s="5" t="s">
        <v>78</v>
      </c>
      <c r="B14" s="11">
        <v>29855</v>
      </c>
      <c r="C14" s="5">
        <f t="shared" si="0"/>
        <v>26</v>
      </c>
      <c r="D14" s="5">
        <f t="shared" si="1"/>
        <v>9</v>
      </c>
      <c r="E14" s="5">
        <f t="shared" si="2"/>
        <v>1981</v>
      </c>
      <c r="M14" s="5" t="s">
        <v>78</v>
      </c>
      <c r="N14" s="11">
        <v>29855</v>
      </c>
      <c r="O14" s="19">
        <f t="shared" si="3"/>
        <v>29855</v>
      </c>
      <c r="P14" s="5">
        <f t="shared" si="4"/>
        <v>7</v>
      </c>
      <c r="Q14" s="5">
        <f t="shared" si="5"/>
        <v>39</v>
      </c>
      <c r="BF14" s="5" t="s">
        <v>77</v>
      </c>
      <c r="BG14" s="11">
        <v>31083</v>
      </c>
      <c r="BH14" s="22">
        <f t="shared" ca="1" si="12"/>
        <v>39</v>
      </c>
      <c r="BI14" s="22">
        <f t="shared" ca="1" si="13"/>
        <v>6</v>
      </c>
      <c r="BJ14" s="22">
        <f t="shared" ca="1" si="14"/>
        <v>28</v>
      </c>
    </row>
    <row r="15" spans="1:82" x14ac:dyDescent="0.3">
      <c r="A15" s="5" t="s">
        <v>79</v>
      </c>
      <c r="B15" s="11">
        <v>29806</v>
      </c>
      <c r="C15" s="5">
        <f t="shared" si="0"/>
        <v>8</v>
      </c>
      <c r="D15" s="5">
        <f t="shared" si="1"/>
        <v>8</v>
      </c>
      <c r="E15" s="5">
        <f t="shared" si="2"/>
        <v>1981</v>
      </c>
      <c r="M15" s="5" t="s">
        <v>79</v>
      </c>
      <c r="N15" s="11">
        <v>29806</v>
      </c>
      <c r="O15" s="19">
        <f t="shared" si="3"/>
        <v>29806</v>
      </c>
      <c r="P15" s="5">
        <f t="shared" si="4"/>
        <v>7</v>
      </c>
      <c r="Q15" s="5">
        <f t="shared" si="5"/>
        <v>32</v>
      </c>
      <c r="BF15" s="5" t="s">
        <v>78</v>
      </c>
      <c r="BG15" s="11">
        <v>29855</v>
      </c>
      <c r="BH15" s="22">
        <f t="shared" ca="1" si="12"/>
        <v>42</v>
      </c>
      <c r="BI15" s="22">
        <f t="shared" ca="1" si="13"/>
        <v>11</v>
      </c>
      <c r="BJ15" s="22">
        <f t="shared" ca="1" si="14"/>
        <v>7</v>
      </c>
    </row>
    <row r="16" spans="1:82" x14ac:dyDescent="0.3">
      <c r="A16" s="5" t="s">
        <v>80</v>
      </c>
      <c r="B16" s="11">
        <v>22830</v>
      </c>
      <c r="C16" s="5">
        <f t="shared" si="0"/>
        <v>3</v>
      </c>
      <c r="D16" s="5">
        <f t="shared" si="1"/>
        <v>7</v>
      </c>
      <c r="E16" s="5">
        <f t="shared" si="2"/>
        <v>1962</v>
      </c>
      <c r="M16" s="5" t="s">
        <v>80</v>
      </c>
      <c r="N16" s="11">
        <v>22830</v>
      </c>
      <c r="O16" s="19">
        <f t="shared" si="3"/>
        <v>22830</v>
      </c>
      <c r="P16" s="5">
        <f t="shared" si="4"/>
        <v>3</v>
      </c>
      <c r="Q16" s="5">
        <f t="shared" si="5"/>
        <v>27</v>
      </c>
      <c r="BF16" s="5" t="s">
        <v>79</v>
      </c>
      <c r="BG16" s="11">
        <v>29806</v>
      </c>
      <c r="BH16" s="22">
        <f t="shared" ca="1" si="12"/>
        <v>43</v>
      </c>
      <c r="BI16" s="22">
        <f t="shared" ca="1" si="13"/>
        <v>0</v>
      </c>
      <c r="BJ16" s="22">
        <f t="shared" ca="1" si="14"/>
        <v>25</v>
      </c>
    </row>
    <row r="17" spans="1:62" x14ac:dyDescent="0.3">
      <c r="A17" s="5" t="s">
        <v>81</v>
      </c>
      <c r="B17" s="11">
        <v>27344</v>
      </c>
      <c r="C17" s="5">
        <f t="shared" si="0"/>
        <v>11</v>
      </c>
      <c r="D17" s="5">
        <f t="shared" si="1"/>
        <v>11</v>
      </c>
      <c r="E17" s="5">
        <f t="shared" si="2"/>
        <v>1974</v>
      </c>
      <c r="M17" s="5" t="s">
        <v>81</v>
      </c>
      <c r="N17" s="11">
        <v>27344</v>
      </c>
      <c r="O17" s="19">
        <f t="shared" si="3"/>
        <v>27344</v>
      </c>
      <c r="P17" s="5">
        <f t="shared" si="4"/>
        <v>2</v>
      </c>
      <c r="Q17" s="5">
        <f t="shared" si="5"/>
        <v>46</v>
      </c>
      <c r="BF17" s="5" t="s">
        <v>80</v>
      </c>
      <c r="BG17" s="11">
        <v>22830</v>
      </c>
      <c r="BH17" s="22">
        <f t="shared" ca="1" si="12"/>
        <v>62</v>
      </c>
      <c r="BI17" s="22">
        <f t="shared" ca="1" si="13"/>
        <v>1</v>
      </c>
      <c r="BJ17" s="22">
        <f t="shared" ca="1" si="14"/>
        <v>30</v>
      </c>
    </row>
    <row r="18" spans="1:62" x14ac:dyDescent="0.3">
      <c r="A18" s="5" t="s">
        <v>82</v>
      </c>
      <c r="B18" s="11">
        <v>31645</v>
      </c>
      <c r="C18" s="5">
        <f t="shared" si="0"/>
        <v>21</v>
      </c>
      <c r="D18" s="5">
        <f t="shared" si="1"/>
        <v>8</v>
      </c>
      <c r="E18" s="5">
        <f t="shared" si="2"/>
        <v>1986</v>
      </c>
      <c r="M18" s="5" t="s">
        <v>82</v>
      </c>
      <c r="N18" s="11">
        <v>31645</v>
      </c>
      <c r="O18" s="19">
        <f t="shared" si="3"/>
        <v>31645</v>
      </c>
      <c r="P18" s="5">
        <f t="shared" si="4"/>
        <v>5</v>
      </c>
      <c r="Q18" s="5">
        <f t="shared" si="5"/>
        <v>34</v>
      </c>
      <c r="BF18" s="5" t="s">
        <v>81</v>
      </c>
      <c r="BG18" s="11">
        <v>27344</v>
      </c>
      <c r="BH18" s="22">
        <f t="shared" ca="1" si="12"/>
        <v>49</v>
      </c>
      <c r="BI18" s="22">
        <f t="shared" ca="1" si="13"/>
        <v>9</v>
      </c>
      <c r="BJ18" s="22">
        <f t="shared" ca="1" si="14"/>
        <v>22</v>
      </c>
    </row>
    <row r="19" spans="1:62" x14ac:dyDescent="0.3">
      <c r="A19" s="5" t="s">
        <v>83</v>
      </c>
      <c r="B19" s="11">
        <v>23059</v>
      </c>
      <c r="C19" s="5">
        <f t="shared" si="0"/>
        <v>17</v>
      </c>
      <c r="D19" s="5">
        <f t="shared" si="1"/>
        <v>2</v>
      </c>
      <c r="E19" s="5">
        <f t="shared" si="2"/>
        <v>1963</v>
      </c>
      <c r="M19" s="5" t="s">
        <v>83</v>
      </c>
      <c r="N19" s="11">
        <v>23059</v>
      </c>
      <c r="O19" s="19">
        <f t="shared" si="3"/>
        <v>23059</v>
      </c>
      <c r="P19" s="5">
        <f t="shared" si="4"/>
        <v>1</v>
      </c>
      <c r="Q19" s="5">
        <f t="shared" si="5"/>
        <v>8</v>
      </c>
      <c r="BF19" s="5" t="s">
        <v>82</v>
      </c>
      <c r="BG19" s="11">
        <v>31645</v>
      </c>
      <c r="BH19" s="22">
        <f t="shared" ca="1" si="12"/>
        <v>38</v>
      </c>
      <c r="BI19" s="22">
        <f t="shared" ca="1" si="13"/>
        <v>0</v>
      </c>
      <c r="BJ19" s="22">
        <f t="shared" ca="1" si="14"/>
        <v>12</v>
      </c>
    </row>
    <row r="20" spans="1:62" x14ac:dyDescent="0.3">
      <c r="A20" s="5" t="s">
        <v>84</v>
      </c>
      <c r="B20" s="11">
        <v>31919</v>
      </c>
      <c r="C20" s="5">
        <f t="shared" si="0"/>
        <v>22</v>
      </c>
      <c r="D20" s="5">
        <f t="shared" si="1"/>
        <v>5</v>
      </c>
      <c r="E20" s="5">
        <f t="shared" si="2"/>
        <v>1987</v>
      </c>
      <c r="M20" s="5" t="s">
        <v>84</v>
      </c>
      <c r="N20" s="11">
        <v>31919</v>
      </c>
      <c r="O20" s="19">
        <f t="shared" si="3"/>
        <v>31919</v>
      </c>
      <c r="P20" s="5">
        <f t="shared" si="4"/>
        <v>6</v>
      </c>
      <c r="Q20" s="5">
        <f t="shared" si="5"/>
        <v>21</v>
      </c>
      <c r="BF20" s="5" t="s">
        <v>83</v>
      </c>
      <c r="BG20" s="11">
        <v>23059</v>
      </c>
      <c r="BH20" s="22">
        <f t="shared" ca="1" si="12"/>
        <v>61</v>
      </c>
      <c r="BI20" s="22">
        <f t="shared" ca="1" si="13"/>
        <v>6</v>
      </c>
      <c r="BJ20" s="22">
        <f t="shared" ca="1" si="14"/>
        <v>16</v>
      </c>
    </row>
    <row r="21" spans="1:62" x14ac:dyDescent="0.3">
      <c r="A21" s="5" t="s">
        <v>85</v>
      </c>
      <c r="B21" s="11">
        <v>31566</v>
      </c>
      <c r="C21" s="5">
        <f t="shared" si="0"/>
        <v>3</v>
      </c>
      <c r="D21" s="5">
        <f t="shared" si="1"/>
        <v>6</v>
      </c>
      <c r="E21" s="5">
        <f t="shared" si="2"/>
        <v>1986</v>
      </c>
      <c r="M21" s="5" t="s">
        <v>85</v>
      </c>
      <c r="N21" s="11">
        <v>31566</v>
      </c>
      <c r="O21" s="19">
        <f t="shared" si="3"/>
        <v>31566</v>
      </c>
      <c r="P21" s="5">
        <f t="shared" si="4"/>
        <v>3</v>
      </c>
      <c r="Q21" s="5">
        <f t="shared" si="5"/>
        <v>23</v>
      </c>
      <c r="BF21" s="5" t="s">
        <v>84</v>
      </c>
      <c r="BG21" s="11">
        <v>31919</v>
      </c>
      <c r="BH21" s="22">
        <f t="shared" ca="1" si="12"/>
        <v>37</v>
      </c>
      <c r="BI21" s="22">
        <f t="shared" ca="1" si="13"/>
        <v>3</v>
      </c>
      <c r="BJ21" s="22">
        <f t="shared" ca="1" si="14"/>
        <v>11</v>
      </c>
    </row>
    <row r="22" spans="1:62" x14ac:dyDescent="0.3">
      <c r="BF22" s="5" t="s">
        <v>85</v>
      </c>
      <c r="BG22" s="11">
        <v>31566</v>
      </c>
      <c r="BH22" s="22">
        <f t="shared" ca="1" si="12"/>
        <v>38</v>
      </c>
      <c r="BI22" s="22">
        <f t="shared" ca="1" si="13"/>
        <v>2</v>
      </c>
      <c r="BJ22" s="22">
        <f t="shared" ca="1" si="14"/>
        <v>30</v>
      </c>
    </row>
    <row r="23" spans="1:62" x14ac:dyDescent="0.3">
      <c r="BF23" s="23" t="s">
        <v>140</v>
      </c>
      <c r="BG23" s="24">
        <v>36249</v>
      </c>
      <c r="BH23" s="25">
        <f t="shared" ca="1" si="12"/>
        <v>25</v>
      </c>
      <c r="BI23" s="25">
        <f t="shared" ca="1" si="13"/>
        <v>5</v>
      </c>
      <c r="BJ23" s="25">
        <f t="shared" ca="1" si="14"/>
        <v>3</v>
      </c>
    </row>
  </sheetData>
  <mergeCells count="1"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8C4C-D4FB-4D1C-AEBF-C6494C3E6CD2}">
  <dimension ref="A1:G257"/>
  <sheetViews>
    <sheetView showGridLines="0" topLeftCell="A111" zoomScale="115" zoomScaleNormal="115" workbookViewId="0">
      <selection activeCell="G253" sqref="G253"/>
    </sheetView>
  </sheetViews>
  <sheetFormatPr defaultColWidth="15.77734375" defaultRowHeight="19.2" x14ac:dyDescent="0.45"/>
  <cols>
    <col min="1" max="1" width="17" style="28" bestFit="1" customWidth="1"/>
    <col min="2" max="3" width="19" style="28" bestFit="1" customWidth="1"/>
    <col min="4" max="4" width="20" style="28" customWidth="1"/>
    <col min="5" max="5" width="22.21875" style="28" bestFit="1" customWidth="1"/>
    <col min="6" max="6" width="19.33203125" style="28" customWidth="1"/>
    <col min="7" max="16384" width="15.77734375" style="28"/>
  </cols>
  <sheetData>
    <row r="1" spans="1:5" x14ac:dyDescent="0.45">
      <c r="A1" s="81" t="s">
        <v>403</v>
      </c>
    </row>
    <row r="2" spans="1:5" x14ac:dyDescent="0.45">
      <c r="A2" s="81" t="s">
        <v>404</v>
      </c>
    </row>
    <row r="3" spans="1:5" x14ac:dyDescent="0.45">
      <c r="A3" s="81" t="s">
        <v>405</v>
      </c>
    </row>
    <row r="4" spans="1:5" x14ac:dyDescent="0.45">
      <c r="A4" s="81" t="s">
        <v>406</v>
      </c>
    </row>
    <row r="5" spans="1:5" x14ac:dyDescent="0.45">
      <c r="A5" s="81" t="s">
        <v>407</v>
      </c>
    </row>
    <row r="16" spans="1:5" ht="28.8" customHeight="1" x14ac:dyDescent="0.45">
      <c r="A16" s="90" t="s">
        <v>152</v>
      </c>
      <c r="B16" s="91"/>
      <c r="C16" s="91"/>
      <c r="D16" s="91"/>
      <c r="E16" s="91"/>
    </row>
    <row r="18" spans="1:7" x14ac:dyDescent="0.45">
      <c r="A18" s="33" t="s">
        <v>142</v>
      </c>
      <c r="B18" s="34" t="s">
        <v>153</v>
      </c>
      <c r="C18" s="34" t="s">
        <v>153</v>
      </c>
    </row>
    <row r="19" spans="1:7" x14ac:dyDescent="0.45">
      <c r="A19" s="29">
        <v>3000</v>
      </c>
      <c r="B19" s="30" t="b">
        <f>A19&gt;2000</f>
        <v>1</v>
      </c>
      <c r="C19" s="30"/>
      <c r="E19" s="31"/>
      <c r="F19" s="31"/>
      <c r="G19" s="31"/>
    </row>
    <row r="20" spans="1:7" x14ac:dyDescent="0.45">
      <c r="A20" s="29">
        <v>1350</v>
      </c>
      <c r="B20" s="30" t="b">
        <f t="shared" ref="B20:B25" si="0">A20&gt;2000</f>
        <v>0</v>
      </c>
      <c r="C20" s="30"/>
      <c r="E20" s="31"/>
      <c r="F20" s="31"/>
      <c r="G20" s="31"/>
    </row>
    <row r="21" spans="1:7" x14ac:dyDescent="0.45">
      <c r="A21" s="29">
        <v>600</v>
      </c>
      <c r="B21" s="30" t="b">
        <f t="shared" si="0"/>
        <v>0</v>
      </c>
      <c r="C21" s="30"/>
    </row>
    <row r="22" spans="1:7" x14ac:dyDescent="0.45">
      <c r="A22" s="29">
        <v>100</v>
      </c>
      <c r="B22" s="30" t="b">
        <f t="shared" si="0"/>
        <v>0</v>
      </c>
      <c r="C22" s="30"/>
    </row>
    <row r="23" spans="1:7" x14ac:dyDescent="0.45">
      <c r="A23" s="29">
        <v>4069</v>
      </c>
      <c r="B23" s="30" t="b">
        <f t="shared" si="0"/>
        <v>1</v>
      </c>
      <c r="C23" s="30"/>
    </row>
    <row r="24" spans="1:7" x14ac:dyDescent="0.45">
      <c r="A24" s="29">
        <v>99</v>
      </c>
      <c r="B24" s="30" t="b">
        <f t="shared" si="0"/>
        <v>0</v>
      </c>
      <c r="C24" s="30"/>
    </row>
    <row r="25" spans="1:7" x14ac:dyDescent="0.45">
      <c r="A25" s="29">
        <v>2518</v>
      </c>
      <c r="B25" s="30" t="b">
        <f t="shared" si="0"/>
        <v>1</v>
      </c>
      <c r="C25" s="30"/>
    </row>
    <row r="26" spans="1:7" s="37" customFormat="1" ht="16.8" x14ac:dyDescent="0.4"/>
    <row r="27" spans="1:7" s="37" customFormat="1" ht="16.8" x14ac:dyDescent="0.4"/>
    <row r="28" spans="1:7" s="37" customFormat="1" ht="16.8" x14ac:dyDescent="0.4"/>
    <row r="29" spans="1:7" s="37" customFormat="1" ht="16.8" x14ac:dyDescent="0.4"/>
    <row r="30" spans="1:7" s="37" customFormat="1" ht="16.8" x14ac:dyDescent="0.4"/>
    <row r="31" spans="1:7" s="37" customFormat="1" ht="16.8" x14ac:dyDescent="0.4">
      <c r="A31" s="38">
        <v>3500</v>
      </c>
    </row>
    <row r="32" spans="1:7" s="37" customFormat="1" ht="16.8" x14ac:dyDescent="0.4"/>
    <row r="33" spans="1:5" s="37" customFormat="1" ht="20.399999999999999" customHeight="1" x14ac:dyDescent="0.4">
      <c r="A33" s="90" t="s">
        <v>154</v>
      </c>
      <c r="B33" s="91"/>
      <c r="C33" s="91"/>
      <c r="D33" s="91"/>
      <c r="E33" s="91"/>
    </row>
    <row r="34" spans="1:5" s="37" customFormat="1" x14ac:dyDescent="0.45">
      <c r="A34" s="28"/>
      <c r="B34" s="28"/>
      <c r="C34" s="28"/>
      <c r="D34" s="28"/>
    </row>
    <row r="35" spans="1:5" s="37" customFormat="1" x14ac:dyDescent="0.45">
      <c r="A35" s="33" t="s">
        <v>142</v>
      </c>
      <c r="B35" s="34" t="s">
        <v>153</v>
      </c>
      <c r="C35" s="34" t="s">
        <v>153</v>
      </c>
      <c r="D35" s="28"/>
    </row>
    <row r="36" spans="1:5" s="37" customFormat="1" x14ac:dyDescent="0.45">
      <c r="A36" s="29">
        <v>3000</v>
      </c>
      <c r="B36" s="30" t="b">
        <f>A36&gt;$A$31</f>
        <v>0</v>
      </c>
      <c r="C36" s="30"/>
      <c r="D36" s="28"/>
    </row>
    <row r="37" spans="1:5" s="37" customFormat="1" x14ac:dyDescent="0.45">
      <c r="A37" s="29">
        <v>1350</v>
      </c>
      <c r="B37" s="30" t="b">
        <f t="shared" ref="B37:B42" si="1">A37&gt;$A$31</f>
        <v>0</v>
      </c>
      <c r="C37" s="30"/>
      <c r="D37" s="28"/>
    </row>
    <row r="38" spans="1:5" s="37" customFormat="1" x14ac:dyDescent="0.45">
      <c r="A38" s="29">
        <v>600</v>
      </c>
      <c r="B38" s="30" t="b">
        <f t="shared" si="1"/>
        <v>0</v>
      </c>
      <c r="C38" s="30"/>
      <c r="D38" s="28"/>
    </row>
    <row r="39" spans="1:5" s="37" customFormat="1" x14ac:dyDescent="0.45">
      <c r="A39" s="29">
        <v>100</v>
      </c>
      <c r="B39" s="30" t="b">
        <f t="shared" si="1"/>
        <v>0</v>
      </c>
      <c r="C39" s="30"/>
      <c r="D39" s="28"/>
    </row>
    <row r="40" spans="1:5" s="37" customFormat="1" x14ac:dyDescent="0.45">
      <c r="A40" s="29">
        <v>4069</v>
      </c>
      <c r="B40" s="30" t="b">
        <f t="shared" si="1"/>
        <v>1</v>
      </c>
      <c r="C40" s="30"/>
      <c r="D40" s="28"/>
    </row>
    <row r="41" spans="1:5" s="37" customFormat="1" x14ac:dyDescent="0.45">
      <c r="A41" s="29">
        <v>99</v>
      </c>
      <c r="B41" s="30" t="b">
        <f t="shared" si="1"/>
        <v>0</v>
      </c>
      <c r="C41" s="30"/>
      <c r="D41" s="28"/>
    </row>
    <row r="42" spans="1:5" s="37" customFormat="1" x14ac:dyDescent="0.45">
      <c r="A42" s="29">
        <v>2518</v>
      </c>
      <c r="B42" s="30" t="b">
        <f t="shared" si="1"/>
        <v>0</v>
      </c>
      <c r="C42" s="30"/>
      <c r="D42" s="28"/>
    </row>
    <row r="43" spans="1:5" s="37" customFormat="1" ht="16.8" x14ac:dyDescent="0.4"/>
    <row r="44" spans="1:5" s="37" customFormat="1" ht="16.8" x14ac:dyDescent="0.4"/>
    <row r="45" spans="1:5" s="37" customFormat="1" ht="16.8" x14ac:dyDescent="0.4"/>
    <row r="46" spans="1:5" s="37" customFormat="1" ht="16.8" x14ac:dyDescent="0.4"/>
    <row r="47" spans="1:5" s="37" customFormat="1" ht="16.8" x14ac:dyDescent="0.4"/>
    <row r="48" spans="1:5" s="37" customFormat="1" ht="16.8" x14ac:dyDescent="0.4"/>
    <row r="49" spans="1:7" s="37" customFormat="1" ht="16.8" x14ac:dyDescent="0.4"/>
    <row r="50" spans="1:7" s="37" customFormat="1" ht="16.8" x14ac:dyDescent="0.4"/>
    <row r="51" spans="1:7" s="37" customFormat="1" ht="16.8" x14ac:dyDescent="0.4"/>
    <row r="52" spans="1:7" s="37" customFormat="1" ht="16.8" x14ac:dyDescent="0.4"/>
    <row r="53" spans="1:7" s="37" customFormat="1" ht="16.8" x14ac:dyDescent="0.4"/>
    <row r="54" spans="1:7" s="37" customFormat="1" ht="16.8" x14ac:dyDescent="0.4"/>
    <row r="55" spans="1:7" s="37" customFormat="1" ht="16.8" x14ac:dyDescent="0.4"/>
    <row r="56" spans="1:7" s="37" customFormat="1" ht="16.8" x14ac:dyDescent="0.4"/>
    <row r="57" spans="1:7" s="37" customFormat="1" ht="16.8" x14ac:dyDescent="0.4"/>
    <row r="58" spans="1:7" s="37" customFormat="1" ht="16.8" x14ac:dyDescent="0.4"/>
    <row r="59" spans="1:7" s="37" customFormat="1" ht="53.4" customHeight="1" x14ac:dyDescent="0.4">
      <c r="A59" s="90" t="s">
        <v>155</v>
      </c>
      <c r="B59" s="91"/>
      <c r="C59" s="91"/>
      <c r="D59" s="91"/>
      <c r="E59" s="91"/>
    </row>
    <row r="62" spans="1:7" x14ac:dyDescent="0.45">
      <c r="A62" s="33" t="s">
        <v>69</v>
      </c>
      <c r="B62" s="34" t="s">
        <v>144</v>
      </c>
      <c r="C62" s="34" t="s">
        <v>145</v>
      </c>
      <c r="D62" s="34" t="s">
        <v>143</v>
      </c>
      <c r="F62" s="37"/>
      <c r="G62" s="37"/>
    </row>
    <row r="63" spans="1:7" x14ac:dyDescent="0.45">
      <c r="A63" s="35" t="s">
        <v>146</v>
      </c>
      <c r="B63" s="29">
        <v>65</v>
      </c>
      <c r="C63" s="29">
        <v>98</v>
      </c>
      <c r="D63" s="35" t="b">
        <f>AND(B63&gt;60,C63&gt;90)</f>
        <v>1</v>
      </c>
      <c r="F63" s="37"/>
      <c r="G63" s="37"/>
    </row>
    <row r="64" spans="1:7" x14ac:dyDescent="0.45">
      <c r="A64" s="35" t="s">
        <v>147</v>
      </c>
      <c r="B64" s="29">
        <v>28</v>
      </c>
      <c r="C64" s="29">
        <v>56</v>
      </c>
      <c r="D64" s="35" t="b">
        <f t="shared" ref="D64:D68" si="2">AND(B64&gt;60,C64&gt;90)</f>
        <v>0</v>
      </c>
      <c r="F64" s="37"/>
      <c r="G64" s="37"/>
    </row>
    <row r="65" spans="1:5" x14ac:dyDescent="0.45">
      <c r="A65" s="35" t="s">
        <v>148</v>
      </c>
      <c r="B65" s="29">
        <v>81</v>
      </c>
      <c r="C65" s="29">
        <v>12</v>
      </c>
      <c r="D65" s="35" t="b">
        <f t="shared" si="2"/>
        <v>0</v>
      </c>
    </row>
    <row r="66" spans="1:5" x14ac:dyDescent="0.45">
      <c r="A66" s="35" t="s">
        <v>149</v>
      </c>
      <c r="B66" s="29">
        <v>81</v>
      </c>
      <c r="C66" s="29">
        <v>95</v>
      </c>
      <c r="D66" s="35" t="b">
        <f t="shared" si="2"/>
        <v>1</v>
      </c>
    </row>
    <row r="67" spans="1:5" x14ac:dyDescent="0.45">
      <c r="A67" s="35" t="s">
        <v>150</v>
      </c>
      <c r="B67" s="29">
        <v>60</v>
      </c>
      <c r="C67" s="29">
        <v>71</v>
      </c>
      <c r="D67" s="35" t="b">
        <f t="shared" si="2"/>
        <v>0</v>
      </c>
    </row>
    <row r="68" spans="1:5" x14ac:dyDescent="0.45">
      <c r="A68" s="35" t="s">
        <v>151</v>
      </c>
      <c r="B68" s="29">
        <v>12</v>
      </c>
      <c r="C68" s="29">
        <v>74</v>
      </c>
      <c r="D68" s="35" t="b">
        <f t="shared" si="2"/>
        <v>0</v>
      </c>
    </row>
    <row r="72" spans="1:5" x14ac:dyDescent="0.45">
      <c r="A72" s="32"/>
      <c r="B72" s="32"/>
    </row>
    <row r="77" spans="1:5" ht="46.2" customHeight="1" x14ac:dyDescent="0.45">
      <c r="A77" s="90" t="s">
        <v>167</v>
      </c>
      <c r="B77" s="91"/>
      <c r="C77" s="91"/>
      <c r="D77" s="91"/>
      <c r="E77" s="91"/>
    </row>
    <row r="79" spans="1:5" x14ac:dyDescent="0.45">
      <c r="A79" s="33" t="s">
        <v>69</v>
      </c>
      <c r="B79" s="33" t="s">
        <v>156</v>
      </c>
      <c r="C79" s="33" t="s">
        <v>157</v>
      </c>
      <c r="D79" s="33" t="s">
        <v>143</v>
      </c>
    </row>
    <row r="80" spans="1:5" x14ac:dyDescent="0.45">
      <c r="A80" s="39" t="s">
        <v>158</v>
      </c>
      <c r="B80" s="29">
        <v>12</v>
      </c>
      <c r="C80" s="29">
        <v>34</v>
      </c>
      <c r="D80" s="35" t="str">
        <f>IF(C80&gt;B80,"Increment", "Decrement")</f>
        <v>Increment</v>
      </c>
    </row>
    <row r="81" spans="1:4" x14ac:dyDescent="0.45">
      <c r="A81" s="39" t="s">
        <v>159</v>
      </c>
      <c r="B81" s="29">
        <v>28</v>
      </c>
      <c r="C81" s="29">
        <v>56</v>
      </c>
      <c r="D81" s="35" t="str">
        <f t="shared" ref="D81:D86" si="3">IF(C81&gt;B81,"Increment", "Decrement")</f>
        <v>Increment</v>
      </c>
    </row>
    <row r="82" spans="1:4" x14ac:dyDescent="0.45">
      <c r="A82" s="39" t="s">
        <v>160</v>
      </c>
      <c r="B82" s="29">
        <v>81</v>
      </c>
      <c r="C82" s="29">
        <v>12</v>
      </c>
      <c r="D82" s="35" t="str">
        <f t="shared" si="3"/>
        <v>Decrement</v>
      </c>
    </row>
    <row r="83" spans="1:4" x14ac:dyDescent="0.45">
      <c r="A83" s="39" t="s">
        <v>161</v>
      </c>
      <c r="B83" s="29">
        <v>81</v>
      </c>
      <c r="C83" s="29">
        <v>95</v>
      </c>
      <c r="D83" s="35" t="str">
        <f t="shared" si="3"/>
        <v>Increment</v>
      </c>
    </row>
    <row r="84" spans="1:4" x14ac:dyDescent="0.45">
      <c r="A84" s="39" t="s">
        <v>162</v>
      </c>
      <c r="B84" s="29">
        <v>60</v>
      </c>
      <c r="C84" s="29">
        <v>71</v>
      </c>
      <c r="D84" s="35" t="str">
        <f t="shared" si="3"/>
        <v>Increment</v>
      </c>
    </row>
    <row r="85" spans="1:4" x14ac:dyDescent="0.45">
      <c r="A85" s="39" t="s">
        <v>163</v>
      </c>
      <c r="B85" s="29">
        <v>12</v>
      </c>
      <c r="C85" s="29">
        <v>10</v>
      </c>
      <c r="D85" s="35" t="str">
        <f t="shared" si="3"/>
        <v>Decrement</v>
      </c>
    </row>
    <row r="86" spans="1:4" x14ac:dyDescent="0.45">
      <c r="A86" s="39" t="s">
        <v>164</v>
      </c>
      <c r="B86" s="29">
        <v>12</v>
      </c>
      <c r="C86" s="29">
        <v>10</v>
      </c>
      <c r="D86" s="35" t="str">
        <f t="shared" si="3"/>
        <v>Decrement</v>
      </c>
    </row>
    <row r="102" spans="1:5" ht="49.2" customHeight="1" x14ac:dyDescent="0.45">
      <c r="A102" s="90" t="s">
        <v>190</v>
      </c>
      <c r="B102" s="91"/>
      <c r="C102" s="91"/>
      <c r="D102" s="91"/>
      <c r="E102" s="91"/>
    </row>
    <row r="104" spans="1:5" ht="46.2" customHeight="1" x14ac:dyDescent="0.45">
      <c r="A104" s="40" t="s">
        <v>69</v>
      </c>
      <c r="B104" s="40" t="s">
        <v>165</v>
      </c>
      <c r="C104" s="40" t="s">
        <v>166</v>
      </c>
      <c r="D104" s="40" t="s">
        <v>143</v>
      </c>
    </row>
    <row r="105" spans="1:5" x14ac:dyDescent="0.45">
      <c r="A105" s="39" t="s">
        <v>158</v>
      </c>
      <c r="B105" s="36">
        <v>44</v>
      </c>
      <c r="C105" s="36">
        <v>34</v>
      </c>
      <c r="D105" s="35" t="str">
        <f>IF(AND(B105&gt;40,C105&gt;20),"Pass","Fail")</f>
        <v>Pass</v>
      </c>
    </row>
    <row r="106" spans="1:5" x14ac:dyDescent="0.45">
      <c r="A106" s="39" t="s">
        <v>159</v>
      </c>
      <c r="B106" s="36">
        <v>88</v>
      </c>
      <c r="C106" s="36">
        <v>22</v>
      </c>
      <c r="D106" s="35" t="str">
        <f t="shared" ref="D106:D111" si="4">IF(AND(B106&gt;40,C106&gt;20),"Pass","Fail")</f>
        <v>Pass</v>
      </c>
    </row>
    <row r="107" spans="1:5" x14ac:dyDescent="0.45">
      <c r="A107" s="39" t="s">
        <v>160</v>
      </c>
      <c r="B107" s="36">
        <v>81</v>
      </c>
      <c r="C107" s="36">
        <v>12</v>
      </c>
      <c r="D107" s="35" t="str">
        <f t="shared" si="4"/>
        <v>Fail</v>
      </c>
    </row>
    <row r="108" spans="1:5" x14ac:dyDescent="0.45">
      <c r="A108" s="39" t="s">
        <v>161</v>
      </c>
      <c r="B108" s="36">
        <v>81</v>
      </c>
      <c r="C108" s="36">
        <v>11</v>
      </c>
      <c r="D108" s="35" t="str">
        <f t="shared" si="4"/>
        <v>Fail</v>
      </c>
    </row>
    <row r="109" spans="1:5" x14ac:dyDescent="0.45">
      <c r="A109" s="39" t="s">
        <v>162</v>
      </c>
      <c r="B109" s="36">
        <v>60</v>
      </c>
      <c r="C109" s="36">
        <v>44</v>
      </c>
      <c r="D109" s="35" t="str">
        <f t="shared" si="4"/>
        <v>Pass</v>
      </c>
    </row>
    <row r="110" spans="1:5" x14ac:dyDescent="0.45">
      <c r="A110" s="39" t="s">
        <v>163</v>
      </c>
      <c r="B110" s="36">
        <v>12</v>
      </c>
      <c r="C110" s="36">
        <v>23</v>
      </c>
      <c r="D110" s="35" t="str">
        <f t="shared" si="4"/>
        <v>Fail</v>
      </c>
    </row>
    <row r="111" spans="1:5" x14ac:dyDescent="0.45">
      <c r="A111" s="39" t="s">
        <v>164</v>
      </c>
      <c r="B111" s="36">
        <v>11</v>
      </c>
      <c r="C111" s="36">
        <v>23</v>
      </c>
      <c r="D111" s="35" t="str">
        <f t="shared" si="4"/>
        <v>Fail</v>
      </c>
    </row>
    <row r="127" spans="1:5" ht="49.8" customHeight="1" x14ac:dyDescent="0.45">
      <c r="A127" s="88" t="s">
        <v>188</v>
      </c>
      <c r="B127" s="89"/>
      <c r="C127" s="89"/>
      <c r="D127" s="89"/>
      <c r="E127" s="89"/>
    </row>
    <row r="128" spans="1:5" customFormat="1" ht="49.8" customHeight="1" x14ac:dyDescent="0.3"/>
    <row r="129" spans="1:5" ht="57.6" x14ac:dyDescent="0.45">
      <c r="A129" s="46" t="s">
        <v>69</v>
      </c>
      <c r="B129" s="46" t="s">
        <v>168</v>
      </c>
      <c r="C129" s="46" t="s">
        <v>169</v>
      </c>
      <c r="D129" s="46" t="s">
        <v>170</v>
      </c>
      <c r="E129" s="46" t="s">
        <v>171</v>
      </c>
    </row>
    <row r="130" spans="1:5" x14ac:dyDescent="0.45">
      <c r="A130" s="47" t="s">
        <v>177</v>
      </c>
      <c r="B130" s="48">
        <v>38261</v>
      </c>
      <c r="C130" s="49" t="s">
        <v>172</v>
      </c>
      <c r="D130" s="50">
        <v>3</v>
      </c>
      <c r="E130" s="51" t="str">
        <f>IF(AND(D130&lt;4,C130="CDFD",B130&lt;50000),"Eligible","Not Eligible")</f>
        <v>Not Eligible</v>
      </c>
    </row>
    <row r="131" spans="1:5" x14ac:dyDescent="0.45">
      <c r="A131" s="47" t="s">
        <v>178</v>
      </c>
      <c r="B131" s="48">
        <v>82135</v>
      </c>
      <c r="C131" s="49" t="s">
        <v>173</v>
      </c>
      <c r="D131" s="50">
        <v>4</v>
      </c>
      <c r="E131" s="51" t="str">
        <f t="shared" ref="E131:E142" si="5">IF(AND(D131&lt;4,C131="CDFD",B131&lt;50000),"Eligible","Not Eligible")</f>
        <v>Not Eligible</v>
      </c>
    </row>
    <row r="132" spans="1:5" x14ac:dyDescent="0.45">
      <c r="A132" s="47" t="s">
        <v>179</v>
      </c>
      <c r="B132" s="48">
        <v>24566</v>
      </c>
      <c r="C132" s="49" t="s">
        <v>172</v>
      </c>
      <c r="D132" s="50">
        <v>1</v>
      </c>
      <c r="E132" s="51" t="str">
        <f t="shared" si="5"/>
        <v>Not Eligible</v>
      </c>
    </row>
    <row r="133" spans="1:5" x14ac:dyDescent="0.45">
      <c r="A133" s="47" t="s">
        <v>158</v>
      </c>
      <c r="B133" s="48">
        <v>25000</v>
      </c>
      <c r="C133" s="49" t="s">
        <v>174</v>
      </c>
      <c r="D133" s="50">
        <v>2</v>
      </c>
      <c r="E133" s="51" t="str">
        <f t="shared" si="5"/>
        <v>Eligible</v>
      </c>
    </row>
    <row r="134" spans="1:5" x14ac:dyDescent="0.45">
      <c r="A134" s="47" t="s">
        <v>180</v>
      </c>
      <c r="B134" s="48">
        <v>38038</v>
      </c>
      <c r="C134" s="49" t="s">
        <v>172</v>
      </c>
      <c r="D134" s="50">
        <v>1</v>
      </c>
      <c r="E134" s="51" t="str">
        <f t="shared" si="5"/>
        <v>Not Eligible</v>
      </c>
    </row>
    <row r="135" spans="1:5" x14ac:dyDescent="0.45">
      <c r="A135" s="47" t="s">
        <v>181</v>
      </c>
      <c r="B135" s="48">
        <v>72682</v>
      </c>
      <c r="C135" s="49" t="s">
        <v>173</v>
      </c>
      <c r="D135" s="50">
        <v>3</v>
      </c>
      <c r="E135" s="51" t="str">
        <f t="shared" si="5"/>
        <v>Not Eligible</v>
      </c>
    </row>
    <row r="136" spans="1:5" x14ac:dyDescent="0.45">
      <c r="A136" s="47" t="s">
        <v>182</v>
      </c>
      <c r="B136" s="48">
        <v>353556</v>
      </c>
      <c r="C136" s="49" t="s">
        <v>175</v>
      </c>
      <c r="D136" s="52">
        <v>5</v>
      </c>
      <c r="E136" s="51" t="str">
        <f t="shared" si="5"/>
        <v>Not Eligible</v>
      </c>
    </row>
    <row r="137" spans="1:5" x14ac:dyDescent="0.45">
      <c r="A137" s="47" t="s">
        <v>183</v>
      </c>
      <c r="B137" s="48">
        <v>55089</v>
      </c>
      <c r="C137" s="49" t="s">
        <v>173</v>
      </c>
      <c r="D137" s="50">
        <v>2</v>
      </c>
      <c r="E137" s="51" t="str">
        <f t="shared" si="5"/>
        <v>Not Eligible</v>
      </c>
    </row>
    <row r="138" spans="1:5" x14ac:dyDescent="0.45">
      <c r="A138" s="47" t="s">
        <v>184</v>
      </c>
      <c r="B138" s="48">
        <v>35000</v>
      </c>
      <c r="C138" s="49" t="s">
        <v>174</v>
      </c>
      <c r="D138" s="50">
        <v>1</v>
      </c>
      <c r="E138" s="51" t="str">
        <f t="shared" si="5"/>
        <v>Eligible</v>
      </c>
    </row>
    <row r="139" spans="1:5" x14ac:dyDescent="0.45">
      <c r="A139" s="47" t="s">
        <v>185</v>
      </c>
      <c r="B139" s="48">
        <v>98527</v>
      </c>
      <c r="C139" s="49" t="s">
        <v>176</v>
      </c>
      <c r="D139" s="50">
        <v>4</v>
      </c>
      <c r="E139" s="51" t="str">
        <f t="shared" si="5"/>
        <v>Not Eligible</v>
      </c>
    </row>
    <row r="140" spans="1:5" x14ac:dyDescent="0.45">
      <c r="A140" s="47" t="s">
        <v>186</v>
      </c>
      <c r="B140" s="48">
        <v>20337</v>
      </c>
      <c r="C140" s="49" t="s">
        <v>174</v>
      </c>
      <c r="D140" s="50">
        <v>1</v>
      </c>
      <c r="E140" s="51" t="str">
        <f t="shared" si="5"/>
        <v>Eligible</v>
      </c>
    </row>
    <row r="141" spans="1:5" x14ac:dyDescent="0.45">
      <c r="A141" s="47" t="s">
        <v>187</v>
      </c>
      <c r="B141" s="48">
        <v>18158</v>
      </c>
      <c r="C141" s="49" t="s">
        <v>174</v>
      </c>
      <c r="D141" s="50">
        <v>3</v>
      </c>
      <c r="E141" s="51" t="str">
        <f t="shared" si="5"/>
        <v>Eligible</v>
      </c>
    </row>
    <row r="142" spans="1:5" x14ac:dyDescent="0.45">
      <c r="A142" s="45" t="s">
        <v>140</v>
      </c>
      <c r="B142" s="28">
        <v>10000</v>
      </c>
      <c r="C142" s="28" t="s">
        <v>174</v>
      </c>
      <c r="D142" s="28">
        <v>3</v>
      </c>
      <c r="E142" s="51" t="str">
        <f t="shared" si="5"/>
        <v>Eligible</v>
      </c>
    </row>
    <row r="143" spans="1:5" x14ac:dyDescent="0.45">
      <c r="A143" s="45"/>
    </row>
    <row r="144" spans="1:5" x14ac:dyDescent="0.45">
      <c r="A144" s="45"/>
    </row>
    <row r="145" spans="1:5" x14ac:dyDescent="0.45">
      <c r="A145" s="45"/>
    </row>
    <row r="146" spans="1:5" x14ac:dyDescent="0.45">
      <c r="A146" s="45"/>
    </row>
    <row r="147" spans="1:5" x14ac:dyDescent="0.45">
      <c r="A147" s="45"/>
    </row>
    <row r="148" spans="1:5" x14ac:dyDescent="0.45">
      <c r="A148" s="45"/>
    </row>
    <row r="149" spans="1:5" x14ac:dyDescent="0.45">
      <c r="A149" s="45"/>
    </row>
    <row r="159" spans="1:5" ht="34.200000000000003" customHeight="1" x14ac:dyDescent="0.45">
      <c r="A159" s="86" t="s">
        <v>189</v>
      </c>
      <c r="B159" s="87"/>
      <c r="C159" s="87"/>
      <c r="D159" s="87"/>
      <c r="E159" s="87"/>
    </row>
    <row r="161" spans="1:4" ht="57.6" x14ac:dyDescent="0.45">
      <c r="A161" s="46" t="s">
        <v>69</v>
      </c>
      <c r="B161" s="46" t="s">
        <v>165</v>
      </c>
      <c r="C161" s="46" t="s">
        <v>166</v>
      </c>
      <c r="D161" s="46" t="s">
        <v>143</v>
      </c>
    </row>
    <row r="162" spans="1:4" x14ac:dyDescent="0.45">
      <c r="A162" s="47" t="s">
        <v>177</v>
      </c>
      <c r="B162" s="29">
        <v>44</v>
      </c>
      <c r="C162" s="29">
        <v>34</v>
      </c>
      <c r="D162" s="35"/>
    </row>
    <row r="163" spans="1:4" x14ac:dyDescent="0.45">
      <c r="A163" s="47" t="s">
        <v>178</v>
      </c>
      <c r="B163" s="29">
        <v>88</v>
      </c>
      <c r="C163" s="29">
        <v>22</v>
      </c>
      <c r="D163" s="35"/>
    </row>
    <row r="164" spans="1:4" x14ac:dyDescent="0.45">
      <c r="A164" s="47" t="s">
        <v>179</v>
      </c>
      <c r="B164" s="29">
        <v>33</v>
      </c>
      <c r="C164" s="29">
        <v>12</v>
      </c>
      <c r="D164" s="35"/>
    </row>
    <row r="165" spans="1:4" x14ac:dyDescent="0.45">
      <c r="A165" s="47" t="s">
        <v>158</v>
      </c>
      <c r="B165" s="29">
        <v>81</v>
      </c>
      <c r="C165" s="29">
        <v>11</v>
      </c>
      <c r="D165" s="35"/>
    </row>
    <row r="166" spans="1:4" x14ac:dyDescent="0.45">
      <c r="A166" s="47" t="s">
        <v>180</v>
      </c>
      <c r="B166" s="29">
        <v>60</v>
      </c>
      <c r="C166" s="29">
        <v>44</v>
      </c>
      <c r="D166" s="35"/>
    </row>
    <row r="167" spans="1:4" x14ac:dyDescent="0.45">
      <c r="A167" s="47" t="s">
        <v>181</v>
      </c>
      <c r="B167" s="29">
        <v>12</v>
      </c>
      <c r="C167" s="29">
        <v>11</v>
      </c>
      <c r="D167" s="35"/>
    </row>
    <row r="168" spans="1:4" customFormat="1" ht="14.4" x14ac:dyDescent="0.3"/>
    <row r="169" spans="1:4" customFormat="1" ht="14.4" x14ac:dyDescent="0.3"/>
    <row r="170" spans="1:4" customFormat="1" ht="14.4" x14ac:dyDescent="0.3"/>
    <row r="171" spans="1:4" customFormat="1" ht="14.4" x14ac:dyDescent="0.3"/>
    <row r="172" spans="1:4" customFormat="1" ht="14.4" x14ac:dyDescent="0.3"/>
    <row r="173" spans="1:4" customFormat="1" ht="14.4" x14ac:dyDescent="0.3"/>
    <row r="186" spans="1:5" ht="24.6" x14ac:dyDescent="0.45">
      <c r="A186" s="86" t="s">
        <v>207</v>
      </c>
      <c r="B186" s="87"/>
      <c r="C186" s="87"/>
      <c r="D186" s="87"/>
      <c r="E186" s="87"/>
    </row>
    <row r="188" spans="1:5" x14ac:dyDescent="0.45">
      <c r="A188" s="46" t="s">
        <v>69</v>
      </c>
      <c r="B188" s="46" t="s">
        <v>170</v>
      </c>
      <c r="C188" s="46" t="s">
        <v>191</v>
      </c>
      <c r="D188"/>
    </row>
    <row r="189" spans="1:5" x14ac:dyDescent="0.45">
      <c r="A189" s="47" t="s">
        <v>177</v>
      </c>
      <c r="B189" s="42">
        <v>3</v>
      </c>
      <c r="C189" s="43" t="str">
        <f>IF(B189&lt;4,"Good",IF(B189&lt;6,"OK","Bad"))</f>
        <v>Good</v>
      </c>
      <c r="D189"/>
    </row>
    <row r="190" spans="1:5" x14ac:dyDescent="0.45">
      <c r="A190" s="47" t="s">
        <v>178</v>
      </c>
      <c r="B190" s="42">
        <v>4</v>
      </c>
      <c r="C190" s="43" t="str">
        <f t="shared" ref="C190:C200" si="6">IF(B190&lt;4,"Good",IF(B190&lt;6,"OK","Bad"))</f>
        <v>OK</v>
      </c>
      <c r="D190"/>
    </row>
    <row r="191" spans="1:5" x14ac:dyDescent="0.45">
      <c r="A191" s="47" t="s">
        <v>179</v>
      </c>
      <c r="B191" s="42">
        <v>1</v>
      </c>
      <c r="C191" s="43" t="str">
        <f t="shared" si="6"/>
        <v>Good</v>
      </c>
      <c r="D191"/>
    </row>
    <row r="192" spans="1:5" x14ac:dyDescent="0.45">
      <c r="A192" s="47" t="s">
        <v>158</v>
      </c>
      <c r="B192" s="42">
        <v>5</v>
      </c>
      <c r="C192" s="43" t="str">
        <f t="shared" si="6"/>
        <v>OK</v>
      </c>
      <c r="D192"/>
    </row>
    <row r="193" spans="1:6" x14ac:dyDescent="0.45">
      <c r="A193" s="47" t="s">
        <v>180</v>
      </c>
      <c r="B193" s="42">
        <v>1</v>
      </c>
      <c r="C193" s="43" t="str">
        <f t="shared" si="6"/>
        <v>Good</v>
      </c>
      <c r="D193"/>
    </row>
    <row r="194" spans="1:6" x14ac:dyDescent="0.45">
      <c r="A194" s="47" t="s">
        <v>181</v>
      </c>
      <c r="B194" s="42">
        <v>6</v>
      </c>
      <c r="C194" s="43" t="str">
        <f t="shared" si="6"/>
        <v>Bad</v>
      </c>
      <c r="D194"/>
      <c r="E194" s="46" t="s">
        <v>170</v>
      </c>
      <c r="F194" s="46" t="s">
        <v>200</v>
      </c>
    </row>
    <row r="195" spans="1:6" x14ac:dyDescent="0.45">
      <c r="A195" s="47" t="s">
        <v>182</v>
      </c>
      <c r="B195" s="44">
        <v>5</v>
      </c>
      <c r="C195" s="43" t="str">
        <f t="shared" si="6"/>
        <v>OK</v>
      </c>
      <c r="D195"/>
      <c r="E195" s="53" t="s">
        <v>194</v>
      </c>
      <c r="F195" s="36" t="s">
        <v>195</v>
      </c>
    </row>
    <row r="196" spans="1:6" x14ac:dyDescent="0.45">
      <c r="A196" s="47" t="s">
        <v>183</v>
      </c>
      <c r="B196" s="42">
        <v>7</v>
      </c>
      <c r="C196" s="43" t="str">
        <f t="shared" si="6"/>
        <v>Bad</v>
      </c>
      <c r="D196"/>
      <c r="E196" s="54" t="s">
        <v>196</v>
      </c>
      <c r="F196" s="36" t="s">
        <v>197</v>
      </c>
    </row>
    <row r="197" spans="1:6" x14ac:dyDescent="0.45">
      <c r="A197" s="47" t="s">
        <v>184</v>
      </c>
      <c r="B197" s="42">
        <v>1</v>
      </c>
      <c r="C197" s="43" t="str">
        <f t="shared" si="6"/>
        <v>Good</v>
      </c>
      <c r="D197"/>
      <c r="E197" s="54" t="s">
        <v>198</v>
      </c>
      <c r="F197" s="36" t="s">
        <v>199</v>
      </c>
    </row>
    <row r="198" spans="1:6" x14ac:dyDescent="0.45">
      <c r="A198" s="47" t="s">
        <v>185</v>
      </c>
      <c r="B198" s="42">
        <v>8</v>
      </c>
      <c r="C198" s="43" t="str">
        <f t="shared" si="6"/>
        <v>Bad</v>
      </c>
      <c r="D198"/>
    </row>
    <row r="199" spans="1:6" x14ac:dyDescent="0.45">
      <c r="A199" s="47" t="s">
        <v>186</v>
      </c>
      <c r="B199" s="42">
        <v>1</v>
      </c>
      <c r="C199" s="43" t="str">
        <f t="shared" si="6"/>
        <v>Good</v>
      </c>
      <c r="D199"/>
    </row>
    <row r="200" spans="1:6" x14ac:dyDescent="0.45">
      <c r="A200" s="47" t="s">
        <v>187</v>
      </c>
      <c r="B200" s="42">
        <v>2</v>
      </c>
      <c r="C200" s="43" t="str">
        <f t="shared" si="6"/>
        <v>Good</v>
      </c>
      <c r="D200"/>
    </row>
    <row r="223" spans="1:5" ht="24.6" x14ac:dyDescent="0.45">
      <c r="A223" s="86" t="s">
        <v>208</v>
      </c>
      <c r="B223" s="87"/>
      <c r="C223" s="87"/>
      <c r="D223" s="87"/>
      <c r="E223" s="87"/>
    </row>
    <row r="225" spans="1:6" x14ac:dyDescent="0.45">
      <c r="A225" s="46" t="s">
        <v>69</v>
      </c>
      <c r="B225" s="46" t="s">
        <v>170</v>
      </c>
      <c r="C225" s="46" t="s">
        <v>191</v>
      </c>
      <c r="D225"/>
    </row>
    <row r="226" spans="1:6" x14ac:dyDescent="0.45">
      <c r="A226" s="47" t="s">
        <v>177</v>
      </c>
      <c r="B226" s="42">
        <v>3</v>
      </c>
      <c r="C226" s="43" t="str" cm="1">
        <f t="array" ref="C226">_xlfn.IFS(B226&lt;4,"Good",B226&lt;6,"OK",B226&lt;9,"Bad")</f>
        <v>Good</v>
      </c>
      <c r="D226"/>
    </row>
    <row r="227" spans="1:6" x14ac:dyDescent="0.45">
      <c r="A227" s="47" t="s">
        <v>178</v>
      </c>
      <c r="B227" s="42">
        <v>4</v>
      </c>
      <c r="C227" s="43" t="str" cm="1">
        <f t="array" ref="C227">_xlfn.IFS(B227&lt;4,"Good",B227&lt;6,"OK",B227&lt;9,"Bad")</f>
        <v>OK</v>
      </c>
      <c r="D227"/>
    </row>
    <row r="228" spans="1:6" x14ac:dyDescent="0.45">
      <c r="A228" s="47" t="s">
        <v>179</v>
      </c>
      <c r="B228" s="42">
        <v>1</v>
      </c>
      <c r="C228" s="43" t="str" cm="1">
        <f t="array" ref="C228">_xlfn.IFS(B228&lt;4,"Good",B228&lt;6,"OK",B228&lt;9,"Bad")</f>
        <v>Good</v>
      </c>
      <c r="D228"/>
    </row>
    <row r="229" spans="1:6" x14ac:dyDescent="0.45">
      <c r="A229" s="47" t="s">
        <v>158</v>
      </c>
      <c r="B229" s="42">
        <v>5</v>
      </c>
      <c r="C229" s="43" t="str" cm="1">
        <f t="array" ref="C229">_xlfn.IFS(B229&lt;4,"Good",B229&lt;6,"OK",B229&lt;9,"Bad")</f>
        <v>OK</v>
      </c>
      <c r="D229"/>
      <c r="E229" s="46" t="s">
        <v>170</v>
      </c>
      <c r="F229" s="46" t="s">
        <v>200</v>
      </c>
    </row>
    <row r="230" spans="1:6" x14ac:dyDescent="0.45">
      <c r="A230" s="47" t="s">
        <v>180</v>
      </c>
      <c r="B230" s="42">
        <v>1</v>
      </c>
      <c r="C230" s="43" t="str" cm="1">
        <f t="array" ref="C230">_xlfn.IFS(B230&lt;4,"Good",B230&lt;6,"OK",B230&lt;9,"Bad")</f>
        <v>Good</v>
      </c>
      <c r="D230"/>
      <c r="E230" s="53" t="s">
        <v>194</v>
      </c>
      <c r="F230" s="36" t="s">
        <v>195</v>
      </c>
    </row>
    <row r="231" spans="1:6" x14ac:dyDescent="0.45">
      <c r="A231" s="47" t="s">
        <v>181</v>
      </c>
      <c r="B231" s="42">
        <v>6</v>
      </c>
      <c r="C231" s="43" t="str" cm="1">
        <f t="array" ref="C231">_xlfn.IFS(B231&lt;4,"Good",B231&lt;6,"OK",B231&lt;9,"Bad")</f>
        <v>Bad</v>
      </c>
      <c r="D231"/>
      <c r="E231" s="54" t="s">
        <v>196</v>
      </c>
      <c r="F231" s="36" t="s">
        <v>197</v>
      </c>
    </row>
    <row r="232" spans="1:6" x14ac:dyDescent="0.45">
      <c r="A232" s="47" t="s">
        <v>182</v>
      </c>
      <c r="B232" s="44">
        <v>5</v>
      </c>
      <c r="C232" s="43" t="str" cm="1">
        <f t="array" ref="C232">_xlfn.IFS(B232&lt;4,"Good",B232&lt;6,"OK",B232&lt;9,"Bad")</f>
        <v>OK</v>
      </c>
      <c r="D232"/>
      <c r="E232" s="54" t="s">
        <v>198</v>
      </c>
      <c r="F232" s="36" t="s">
        <v>199</v>
      </c>
    </row>
    <row r="233" spans="1:6" x14ac:dyDescent="0.45">
      <c r="A233" s="47" t="s">
        <v>183</v>
      </c>
      <c r="B233" s="42">
        <v>7</v>
      </c>
      <c r="C233" s="43" t="str" cm="1">
        <f t="array" ref="C233">_xlfn.IFS(B233&lt;4,"Good",B233&lt;6,"OK",B233&lt;9,"Bad")</f>
        <v>Bad</v>
      </c>
      <c r="D233"/>
    </row>
    <row r="234" spans="1:6" x14ac:dyDescent="0.45">
      <c r="A234" s="47" t="s">
        <v>184</v>
      </c>
      <c r="B234" s="42">
        <v>1</v>
      </c>
      <c r="C234" s="43" t="str" cm="1">
        <f t="array" ref="C234">_xlfn.IFS(B234&lt;4,"Good",B234&lt;6,"OK",B234&lt;9,"Bad")</f>
        <v>Good</v>
      </c>
      <c r="D234"/>
    </row>
    <row r="235" spans="1:6" x14ac:dyDescent="0.45">
      <c r="A235" s="47" t="s">
        <v>185</v>
      </c>
      <c r="B235" s="42">
        <v>8</v>
      </c>
      <c r="C235" s="43" t="str" cm="1">
        <f t="array" ref="C235">_xlfn.IFS(B235&lt;4,"Good",B235&lt;6,"OK",B235&lt;9,"Bad")</f>
        <v>Bad</v>
      </c>
      <c r="D235"/>
    </row>
    <row r="236" spans="1:6" x14ac:dyDescent="0.45">
      <c r="A236" s="47" t="s">
        <v>186</v>
      </c>
      <c r="B236" s="42">
        <v>1</v>
      </c>
      <c r="C236" s="43" t="str" cm="1">
        <f t="array" ref="C236">_xlfn.IFS(B236&lt;4,"Good",B236&lt;6,"OK",B236&lt;9,"Bad")</f>
        <v>Good</v>
      </c>
      <c r="D236"/>
    </row>
    <row r="237" spans="1:6" x14ac:dyDescent="0.45">
      <c r="A237" s="47" t="s">
        <v>187</v>
      </c>
      <c r="B237" s="42">
        <v>2</v>
      </c>
      <c r="C237" s="43" t="str" cm="1">
        <f t="array" ref="C237">_xlfn.IFS(B237&lt;4,"Good",B237&lt;6,"OK",B237&lt;9,"Bad")</f>
        <v>Good</v>
      </c>
      <c r="D237"/>
    </row>
    <row r="249" spans="1:4" ht="32.4" customHeight="1" x14ac:dyDescent="0.45">
      <c r="A249" s="86" t="s">
        <v>209</v>
      </c>
      <c r="B249" s="87"/>
      <c r="C249" s="87"/>
      <c r="D249" s="87"/>
    </row>
    <row r="251" spans="1:4" x14ac:dyDescent="0.45">
      <c r="A251" s="46" t="s">
        <v>69</v>
      </c>
      <c r="B251" s="46" t="s">
        <v>201</v>
      </c>
      <c r="C251" s="46" t="s">
        <v>202</v>
      </c>
      <c r="D251" s="46" t="s">
        <v>143</v>
      </c>
    </row>
    <row r="252" spans="1:4" x14ac:dyDescent="0.45">
      <c r="A252" s="47" t="s">
        <v>177</v>
      </c>
      <c r="B252" s="29">
        <v>12</v>
      </c>
      <c r="C252" s="29">
        <v>1</v>
      </c>
      <c r="D252" s="35">
        <f>IFERROR(B252/C252,"Invalid Quantity")</f>
        <v>12</v>
      </c>
    </row>
    <row r="253" spans="1:4" x14ac:dyDescent="0.45">
      <c r="A253" s="47" t="s">
        <v>178</v>
      </c>
      <c r="B253" s="29">
        <v>28</v>
      </c>
      <c r="C253" s="29">
        <v>2</v>
      </c>
      <c r="D253" s="35">
        <f t="shared" ref="D253:D257" si="7">IFERROR(B253/C253,"Invalid Quantity")</f>
        <v>14</v>
      </c>
    </row>
    <row r="254" spans="1:4" x14ac:dyDescent="0.45">
      <c r="A254" s="47" t="s">
        <v>179</v>
      </c>
      <c r="B254" s="29">
        <v>81</v>
      </c>
      <c r="C254" s="29">
        <v>0</v>
      </c>
      <c r="D254" s="35" t="str">
        <f t="shared" si="7"/>
        <v>Invalid Quantity</v>
      </c>
    </row>
    <row r="255" spans="1:4" x14ac:dyDescent="0.45">
      <c r="A255" s="47" t="s">
        <v>158</v>
      </c>
      <c r="B255" s="29">
        <v>81</v>
      </c>
      <c r="C255" s="29">
        <v>5</v>
      </c>
      <c r="D255" s="35">
        <f t="shared" si="7"/>
        <v>16.2</v>
      </c>
    </row>
    <row r="256" spans="1:4" x14ac:dyDescent="0.45">
      <c r="A256" s="47" t="s">
        <v>180</v>
      </c>
      <c r="B256" s="29">
        <v>60</v>
      </c>
      <c r="C256" s="29">
        <v>3</v>
      </c>
      <c r="D256" s="35">
        <f t="shared" si="7"/>
        <v>20</v>
      </c>
    </row>
    <row r="257" spans="1:4" x14ac:dyDescent="0.45">
      <c r="A257" s="47" t="s">
        <v>181</v>
      </c>
      <c r="B257" s="29">
        <v>12</v>
      </c>
      <c r="C257" s="29">
        <v>0</v>
      </c>
      <c r="D257" s="35" t="str">
        <f t="shared" si="7"/>
        <v>Invalid Quantity</v>
      </c>
    </row>
  </sheetData>
  <mergeCells count="10">
    <mergeCell ref="A59:E59"/>
    <mergeCell ref="A77:E77"/>
    <mergeCell ref="A16:E16"/>
    <mergeCell ref="A33:E33"/>
    <mergeCell ref="A186:E186"/>
    <mergeCell ref="A249:D249"/>
    <mergeCell ref="A223:E223"/>
    <mergeCell ref="A127:E127"/>
    <mergeCell ref="A102:E102"/>
    <mergeCell ref="A159:E1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D2B1-09BB-4EDF-8125-993C23F6D174}">
  <dimension ref="A1:F248"/>
  <sheetViews>
    <sheetView showGridLines="0" zoomScale="130" zoomScaleNormal="130" workbookViewId="0">
      <selection activeCell="D178" sqref="D178"/>
    </sheetView>
  </sheetViews>
  <sheetFormatPr defaultColWidth="24.88671875" defaultRowHeight="19.2" x14ac:dyDescent="0.45"/>
  <cols>
    <col min="1" max="16384" width="24.88671875" style="28"/>
  </cols>
  <sheetData>
    <row r="1" spans="1:2" ht="23.4" x14ac:dyDescent="0.45">
      <c r="A1" s="92" t="s">
        <v>408</v>
      </c>
      <c r="B1" s="92"/>
    </row>
    <row r="2" spans="1:2" ht="23.4" x14ac:dyDescent="0.45">
      <c r="A2" s="92" t="s">
        <v>268</v>
      </c>
      <c r="B2" s="92"/>
    </row>
    <row r="18" spans="1:5" x14ac:dyDescent="0.45">
      <c r="A18" s="61" t="s">
        <v>67</v>
      </c>
      <c r="B18"/>
      <c r="C18" s="28" t="s">
        <v>438</v>
      </c>
      <c r="E18"/>
    </row>
    <row r="19" spans="1:5" x14ac:dyDescent="0.45">
      <c r="A19" s="35" t="s">
        <v>121</v>
      </c>
      <c r="B19" t="s">
        <v>419</v>
      </c>
      <c r="C19" s="28" t="s">
        <v>428</v>
      </c>
      <c r="D19" s="28" t="s">
        <v>409</v>
      </c>
      <c r="E19" s="28" t="s">
        <v>439</v>
      </c>
    </row>
    <row r="20" spans="1:5" x14ac:dyDescent="0.45">
      <c r="A20" s="35" t="s">
        <v>122</v>
      </c>
      <c r="B20" t="s">
        <v>420</v>
      </c>
      <c r="C20" s="28" t="s">
        <v>429</v>
      </c>
      <c r="D20" s="28" t="s">
        <v>410</v>
      </c>
      <c r="E20" s="28" t="s">
        <v>439</v>
      </c>
    </row>
    <row r="21" spans="1:5" x14ac:dyDescent="0.45">
      <c r="A21" s="35" t="s">
        <v>123</v>
      </c>
      <c r="B21" t="s">
        <v>421</v>
      </c>
      <c r="C21" s="28" t="s">
        <v>430</v>
      </c>
      <c r="D21" s="28" t="s">
        <v>411</v>
      </c>
      <c r="E21" s="28" t="s">
        <v>441</v>
      </c>
    </row>
    <row r="22" spans="1:5" x14ac:dyDescent="0.45">
      <c r="A22" s="35" t="s">
        <v>124</v>
      </c>
      <c r="B22" t="s">
        <v>422</v>
      </c>
      <c r="C22" s="28" t="s">
        <v>431</v>
      </c>
      <c r="D22" s="28" t="s">
        <v>412</v>
      </c>
      <c r="E22" s="28" t="s">
        <v>442</v>
      </c>
    </row>
    <row r="23" spans="1:5" x14ac:dyDescent="0.45">
      <c r="A23" s="35" t="s">
        <v>125</v>
      </c>
      <c r="B23" t="s">
        <v>413</v>
      </c>
      <c r="C23" s="28" t="s">
        <v>432</v>
      </c>
      <c r="D23" s="28" t="s">
        <v>413</v>
      </c>
      <c r="E23" s="28" t="s">
        <v>413</v>
      </c>
    </row>
    <row r="24" spans="1:5" x14ac:dyDescent="0.45">
      <c r="A24" s="35" t="s">
        <v>126</v>
      </c>
      <c r="B24" t="s">
        <v>423</v>
      </c>
      <c r="C24" s="28" t="s">
        <v>433</v>
      </c>
      <c r="D24" s="28" t="s">
        <v>414</v>
      </c>
      <c r="E24" s="28" t="s">
        <v>443</v>
      </c>
    </row>
    <row r="25" spans="1:5" x14ac:dyDescent="0.45">
      <c r="A25" s="35" t="s">
        <v>127</v>
      </c>
      <c r="B25" t="s">
        <v>424</v>
      </c>
      <c r="C25" s="28" t="s">
        <v>434</v>
      </c>
      <c r="D25" s="28" t="s">
        <v>415</v>
      </c>
      <c r="E25" s="28" t="s">
        <v>444</v>
      </c>
    </row>
    <row r="26" spans="1:5" x14ac:dyDescent="0.45">
      <c r="A26" s="35" t="s">
        <v>128</v>
      </c>
      <c r="B26" t="s">
        <v>425</v>
      </c>
      <c r="C26" s="28" t="s">
        <v>435</v>
      </c>
      <c r="D26" s="28" t="s">
        <v>416</v>
      </c>
      <c r="E26" s="28" t="s">
        <v>445</v>
      </c>
    </row>
    <row r="27" spans="1:5" x14ac:dyDescent="0.45">
      <c r="A27" s="35" t="s">
        <v>129</v>
      </c>
      <c r="B27" t="s">
        <v>426</v>
      </c>
      <c r="C27" s="28" t="s">
        <v>436</v>
      </c>
      <c r="D27" s="28" t="s">
        <v>417</v>
      </c>
      <c r="E27" s="28" t="s">
        <v>440</v>
      </c>
    </row>
    <row r="28" spans="1:5" x14ac:dyDescent="0.45">
      <c r="A28" s="35" t="s">
        <v>130</v>
      </c>
      <c r="B28" t="s">
        <v>427</v>
      </c>
      <c r="C28" s="28" t="s">
        <v>437</v>
      </c>
      <c r="D28" s="28" t="s">
        <v>418</v>
      </c>
      <c r="E28" s="28" t="s">
        <v>440</v>
      </c>
    </row>
    <row r="37" spans="1:6" x14ac:dyDescent="0.45">
      <c r="A37" s="61" t="s">
        <v>210</v>
      </c>
      <c r="B37" s="61" t="s">
        <v>211</v>
      </c>
      <c r="C37" s="61" t="s">
        <v>212</v>
      </c>
      <c r="D37" s="61" t="s">
        <v>213</v>
      </c>
      <c r="E37" s="61" t="s">
        <v>214</v>
      </c>
    </row>
    <row r="38" spans="1:6" x14ac:dyDescent="0.45">
      <c r="A38" s="5" t="s">
        <v>58</v>
      </c>
      <c r="B38" s="35" t="s">
        <v>446</v>
      </c>
      <c r="C38" s="35" t="s">
        <v>456</v>
      </c>
      <c r="D38" s="35" t="s">
        <v>466</v>
      </c>
      <c r="E38" s="35" t="s">
        <v>476</v>
      </c>
    </row>
    <row r="39" spans="1:6" x14ac:dyDescent="0.45">
      <c r="A39" s="5" t="s">
        <v>56</v>
      </c>
      <c r="B39" s="35" t="s">
        <v>447</v>
      </c>
      <c r="C39" s="35" t="s">
        <v>457</v>
      </c>
      <c r="D39" s="35" t="s">
        <v>467</v>
      </c>
      <c r="E39" s="35" t="s">
        <v>477</v>
      </c>
    </row>
    <row r="40" spans="1:6" x14ac:dyDescent="0.45">
      <c r="A40" s="5" t="s">
        <v>57</v>
      </c>
      <c r="B40" s="35" t="s">
        <v>448</v>
      </c>
      <c r="C40" s="35" t="s">
        <v>458</v>
      </c>
      <c r="D40" s="35" t="s">
        <v>468</v>
      </c>
      <c r="E40" s="35" t="s">
        <v>478</v>
      </c>
    </row>
    <row r="41" spans="1:6" x14ac:dyDescent="0.45">
      <c r="A41" s="5" t="s">
        <v>71</v>
      </c>
      <c r="B41" s="35" t="s">
        <v>449</v>
      </c>
      <c r="C41" s="35" t="s">
        <v>459</v>
      </c>
      <c r="D41" s="35" t="s">
        <v>469</v>
      </c>
      <c r="E41" s="35" t="s">
        <v>479</v>
      </c>
    </row>
    <row r="42" spans="1:6" x14ac:dyDescent="0.45">
      <c r="A42" s="5" t="s">
        <v>72</v>
      </c>
      <c r="B42" s="35" t="s">
        <v>450</v>
      </c>
      <c r="C42" s="35" t="s">
        <v>460</v>
      </c>
      <c r="D42" s="35" t="s">
        <v>470</v>
      </c>
      <c r="E42" s="35" t="s">
        <v>480</v>
      </c>
    </row>
    <row r="43" spans="1:6" x14ac:dyDescent="0.45">
      <c r="A43" s="5" t="s">
        <v>60</v>
      </c>
      <c r="B43" s="35" t="s">
        <v>451</v>
      </c>
      <c r="C43" s="35" t="s">
        <v>461</v>
      </c>
      <c r="D43" s="35" t="s">
        <v>471</v>
      </c>
      <c r="E43" s="35" t="s">
        <v>481</v>
      </c>
    </row>
    <row r="44" spans="1:6" x14ac:dyDescent="0.45">
      <c r="A44" s="5" t="s">
        <v>59</v>
      </c>
      <c r="B44" s="35" t="s">
        <v>452</v>
      </c>
      <c r="C44" s="35" t="s">
        <v>462</v>
      </c>
      <c r="D44" s="35" t="s">
        <v>472</v>
      </c>
      <c r="E44" s="35" t="s">
        <v>482</v>
      </c>
    </row>
    <row r="45" spans="1:6" x14ac:dyDescent="0.45">
      <c r="A45" s="5" t="s">
        <v>73</v>
      </c>
      <c r="B45" s="35" t="s">
        <v>453</v>
      </c>
      <c r="C45" s="35" t="s">
        <v>463</v>
      </c>
      <c r="D45" s="35" t="s">
        <v>473</v>
      </c>
      <c r="E45" s="35" t="s">
        <v>483</v>
      </c>
      <c r="F45"/>
    </row>
    <row r="46" spans="1:6" x14ac:dyDescent="0.45">
      <c r="A46" s="5" t="s">
        <v>74</v>
      </c>
      <c r="B46" s="35" t="s">
        <v>454</v>
      </c>
      <c r="C46" s="35" t="s">
        <v>464</v>
      </c>
      <c r="D46" s="35" t="s">
        <v>474</v>
      </c>
      <c r="E46" s="35" t="s">
        <v>484</v>
      </c>
      <c r="F46"/>
    </row>
    <row r="47" spans="1:6" x14ac:dyDescent="0.45">
      <c r="A47" s="5" t="s">
        <v>75</v>
      </c>
      <c r="B47" s="35" t="s">
        <v>455</v>
      </c>
      <c r="C47" s="35" t="s">
        <v>465</v>
      </c>
      <c r="D47" s="35" t="s">
        <v>475</v>
      </c>
      <c r="E47" s="35" t="s">
        <v>485</v>
      </c>
      <c r="F47"/>
    </row>
    <row r="48" spans="1:6" x14ac:dyDescent="0.45">
      <c r="F48"/>
    </row>
    <row r="49" spans="1:6" x14ac:dyDescent="0.45">
      <c r="F49"/>
    </row>
    <row r="50" spans="1:6" x14ac:dyDescent="0.45">
      <c r="F50"/>
    </row>
    <row r="51" spans="1:6" x14ac:dyDescent="0.45">
      <c r="F51"/>
    </row>
    <row r="52" spans="1:6" x14ac:dyDescent="0.45">
      <c r="F52"/>
    </row>
    <row r="53" spans="1:6" x14ac:dyDescent="0.45">
      <c r="F53"/>
    </row>
    <row r="55" spans="1:6" x14ac:dyDescent="0.45">
      <c r="A55" s="61" t="s">
        <v>48</v>
      </c>
      <c r="B55" s="61" t="s">
        <v>49</v>
      </c>
      <c r="C55" s="61" t="s">
        <v>236</v>
      </c>
      <c r="D55" s="61" t="s">
        <v>237</v>
      </c>
    </row>
    <row r="56" spans="1:6" x14ac:dyDescent="0.45">
      <c r="A56" s="35" t="s">
        <v>215</v>
      </c>
      <c r="B56" s="35" t="s">
        <v>216</v>
      </c>
      <c r="C56" s="35" t="s">
        <v>203</v>
      </c>
      <c r="D56" s="82" t="s">
        <v>487</v>
      </c>
    </row>
    <row r="57" spans="1:6" x14ac:dyDescent="0.45">
      <c r="A57" s="35" t="s">
        <v>217</v>
      </c>
      <c r="B57" s="35" t="s">
        <v>218</v>
      </c>
      <c r="C57" s="35" t="s">
        <v>204</v>
      </c>
      <c r="D57" s="83" t="s">
        <v>488</v>
      </c>
    </row>
    <row r="58" spans="1:6" x14ac:dyDescent="0.45">
      <c r="A58" s="35" t="s">
        <v>219</v>
      </c>
      <c r="B58" s="35" t="s">
        <v>220</v>
      </c>
      <c r="C58" s="35" t="s">
        <v>205</v>
      </c>
      <c r="D58" s="83" t="s">
        <v>489</v>
      </c>
    </row>
    <row r="59" spans="1:6" x14ac:dyDescent="0.45">
      <c r="A59" s="35" t="s">
        <v>221</v>
      </c>
      <c r="B59" s="35" t="s">
        <v>222</v>
      </c>
      <c r="C59" s="35" t="s">
        <v>206</v>
      </c>
      <c r="D59" s="83" t="s">
        <v>490</v>
      </c>
    </row>
    <row r="60" spans="1:6" x14ac:dyDescent="0.45">
      <c r="A60" s="35" t="s">
        <v>223</v>
      </c>
      <c r="B60" s="35" t="s">
        <v>224</v>
      </c>
      <c r="C60" s="35" t="s">
        <v>193</v>
      </c>
      <c r="D60" s="83" t="s">
        <v>491</v>
      </c>
    </row>
    <row r="61" spans="1:6" x14ac:dyDescent="0.45">
      <c r="A61" s="35" t="s">
        <v>238</v>
      </c>
      <c r="B61" s="35" t="s">
        <v>239</v>
      </c>
      <c r="C61" s="35" t="s">
        <v>486</v>
      </c>
      <c r="D61" s="83" t="s">
        <v>492</v>
      </c>
    </row>
    <row r="62" spans="1:6" x14ac:dyDescent="0.45">
      <c r="A62" s="35" t="s">
        <v>227</v>
      </c>
      <c r="B62" s="35" t="s">
        <v>228</v>
      </c>
      <c r="C62" s="35" t="s">
        <v>226</v>
      </c>
      <c r="D62" s="83" t="s">
        <v>493</v>
      </c>
    </row>
    <row r="63" spans="1:6" x14ac:dyDescent="0.45">
      <c r="A63" s="35" t="s">
        <v>229</v>
      </c>
      <c r="B63" s="35" t="s">
        <v>230</v>
      </c>
      <c r="C63" s="35" t="s">
        <v>140</v>
      </c>
      <c r="D63" s="83" t="s">
        <v>494</v>
      </c>
    </row>
    <row r="64" spans="1:6" x14ac:dyDescent="0.45">
      <c r="A64" s="35" t="s">
        <v>231</v>
      </c>
      <c r="B64" s="35" t="s">
        <v>232</v>
      </c>
      <c r="C64" s="35" t="s">
        <v>192</v>
      </c>
      <c r="D64" s="83" t="s">
        <v>495</v>
      </c>
    </row>
    <row r="65" spans="1:4" x14ac:dyDescent="0.45">
      <c r="A65" s="35" t="s">
        <v>234</v>
      </c>
      <c r="B65" s="35" t="s">
        <v>235</v>
      </c>
      <c r="C65" s="35" t="s">
        <v>233</v>
      </c>
      <c r="D65" s="83" t="s">
        <v>496</v>
      </c>
    </row>
    <row r="76" spans="1:4" x14ac:dyDescent="0.45">
      <c r="A76" s="61" t="s">
        <v>240</v>
      </c>
      <c r="B76" s="61" t="s">
        <v>241</v>
      </c>
    </row>
    <row r="77" spans="1:4" x14ac:dyDescent="0.45">
      <c r="A77" s="35" t="s">
        <v>242</v>
      </c>
      <c r="B77" s="35" t="s">
        <v>497</v>
      </c>
    </row>
    <row r="78" spans="1:4" x14ac:dyDescent="0.45">
      <c r="A78" s="35" t="s">
        <v>243</v>
      </c>
      <c r="B78" s="35" t="s">
        <v>499</v>
      </c>
    </row>
    <row r="79" spans="1:4" x14ac:dyDescent="0.45">
      <c r="A79" s="35" t="s">
        <v>244</v>
      </c>
      <c r="B79" s="35" t="s">
        <v>498</v>
      </c>
    </row>
    <row r="80" spans="1:4" x14ac:dyDescent="0.45">
      <c r="A80" s="35" t="s">
        <v>245</v>
      </c>
      <c r="B80" s="35" t="s">
        <v>500</v>
      </c>
    </row>
    <row r="81" spans="1:2" x14ac:dyDescent="0.45">
      <c r="A81" s="35" t="s">
        <v>246</v>
      </c>
      <c r="B81" s="35" t="s">
        <v>501</v>
      </c>
    </row>
    <row r="82" spans="1:2" x14ac:dyDescent="0.45">
      <c r="A82" s="35" t="s">
        <v>247</v>
      </c>
      <c r="B82" s="35" t="s">
        <v>497</v>
      </c>
    </row>
    <row r="83" spans="1:2" x14ac:dyDescent="0.45">
      <c r="A83" s="35" t="s">
        <v>248</v>
      </c>
      <c r="B83" s="35" t="s">
        <v>497</v>
      </c>
    </row>
    <row r="102" spans="1:4" x14ac:dyDescent="0.45">
      <c r="A102" s="61" t="s">
        <v>116</v>
      </c>
      <c r="B102" s="61" t="s">
        <v>68</v>
      </c>
      <c r="C102" s="61" t="s">
        <v>66</v>
      </c>
      <c r="D102" s="61" t="s">
        <v>67</v>
      </c>
    </row>
    <row r="103" spans="1:4" x14ac:dyDescent="0.45">
      <c r="A103" s="55">
        <v>41114</v>
      </c>
      <c r="B103" s="35">
        <v>2012</v>
      </c>
      <c r="C103" s="35">
        <v>24</v>
      </c>
      <c r="D103" s="35">
        <v>7</v>
      </c>
    </row>
    <row r="104" spans="1:4" x14ac:dyDescent="0.45">
      <c r="A104" s="55">
        <v>41115</v>
      </c>
      <c r="B104" s="35">
        <v>2012</v>
      </c>
      <c r="C104" s="35">
        <v>25</v>
      </c>
      <c r="D104" s="35">
        <v>7</v>
      </c>
    </row>
    <row r="105" spans="1:4" x14ac:dyDescent="0.45">
      <c r="A105" s="55">
        <v>41116</v>
      </c>
      <c r="B105" s="35">
        <v>2012</v>
      </c>
      <c r="C105" s="35">
        <v>26</v>
      </c>
      <c r="D105" s="35">
        <v>7</v>
      </c>
    </row>
    <row r="106" spans="1:4" x14ac:dyDescent="0.45">
      <c r="A106" s="55">
        <v>41117</v>
      </c>
      <c r="B106" s="35">
        <v>2012</v>
      </c>
      <c r="C106" s="35">
        <v>27</v>
      </c>
      <c r="D106" s="35">
        <v>7</v>
      </c>
    </row>
    <row r="107" spans="1:4" x14ac:dyDescent="0.45">
      <c r="A107" s="55">
        <v>41483</v>
      </c>
      <c r="B107" s="35">
        <v>2013</v>
      </c>
      <c r="C107" s="35">
        <v>28</v>
      </c>
      <c r="D107" s="35">
        <v>7</v>
      </c>
    </row>
    <row r="108" spans="1:4" x14ac:dyDescent="0.45">
      <c r="A108" s="55">
        <v>41484</v>
      </c>
      <c r="B108" s="35">
        <v>2013</v>
      </c>
      <c r="C108" s="35">
        <v>29</v>
      </c>
      <c r="D108" s="35">
        <v>7</v>
      </c>
    </row>
    <row r="109" spans="1:4" x14ac:dyDescent="0.45">
      <c r="A109" s="55">
        <v>41485</v>
      </c>
      <c r="B109" s="35">
        <v>2013</v>
      </c>
      <c r="C109" s="35">
        <v>30</v>
      </c>
      <c r="D109" s="35">
        <v>7</v>
      </c>
    </row>
    <row r="110" spans="1:4" x14ac:dyDescent="0.45">
      <c r="A110" s="55">
        <v>41486</v>
      </c>
      <c r="B110" s="35">
        <v>2013</v>
      </c>
      <c r="C110" s="35">
        <v>31</v>
      </c>
      <c r="D110" s="35">
        <v>7</v>
      </c>
    </row>
    <row r="111" spans="1:4" x14ac:dyDescent="0.45">
      <c r="A111" s="55">
        <v>41487</v>
      </c>
      <c r="B111" s="35">
        <v>2013</v>
      </c>
      <c r="C111" s="35">
        <v>1</v>
      </c>
      <c r="D111" s="35">
        <v>8</v>
      </c>
    </row>
    <row r="112" spans="1:4" x14ac:dyDescent="0.45">
      <c r="A112" s="55">
        <v>41488</v>
      </c>
      <c r="B112" s="35">
        <v>2013</v>
      </c>
      <c r="C112" s="35">
        <v>2</v>
      </c>
      <c r="D112" s="35">
        <v>8</v>
      </c>
    </row>
    <row r="126" spans="1:3" x14ac:dyDescent="0.45">
      <c r="A126" s="61" t="s">
        <v>117</v>
      </c>
      <c r="B126" s="61" t="s">
        <v>249</v>
      </c>
      <c r="C126" s="61" t="s">
        <v>250</v>
      </c>
    </row>
    <row r="127" spans="1:3" x14ac:dyDescent="0.45">
      <c r="A127" s="56">
        <v>0.05</v>
      </c>
      <c r="B127" s="84" t="s">
        <v>502</v>
      </c>
      <c r="C127" s="35">
        <v>12</v>
      </c>
    </row>
    <row r="128" spans="1:3" x14ac:dyDescent="0.45">
      <c r="A128" s="56">
        <v>0.17916666666666667</v>
      </c>
      <c r="B128" s="84" t="s">
        <v>508</v>
      </c>
      <c r="C128" s="35">
        <v>18</v>
      </c>
    </row>
    <row r="129" spans="1:3" x14ac:dyDescent="0.45">
      <c r="A129" s="56">
        <v>0.78749999999999998</v>
      </c>
      <c r="B129" s="84" t="s">
        <v>503</v>
      </c>
      <c r="C129" s="35">
        <v>54</v>
      </c>
    </row>
    <row r="130" spans="1:3" x14ac:dyDescent="0.45">
      <c r="A130" s="56">
        <v>0.46250000000000002</v>
      </c>
      <c r="B130" s="84" t="s">
        <v>504</v>
      </c>
      <c r="C130" s="35">
        <v>6</v>
      </c>
    </row>
    <row r="131" spans="1:3" x14ac:dyDescent="0.45">
      <c r="A131" s="56">
        <v>0.38333333333333336</v>
      </c>
      <c r="B131" s="84" t="s">
        <v>505</v>
      </c>
      <c r="C131" s="35">
        <v>12</v>
      </c>
    </row>
    <row r="132" spans="1:3" x14ac:dyDescent="0.45">
      <c r="A132" s="56">
        <v>0.73750000000000004</v>
      </c>
      <c r="B132" s="84" t="s">
        <v>506</v>
      </c>
      <c r="C132" s="35">
        <v>42</v>
      </c>
    </row>
    <row r="133" spans="1:3" x14ac:dyDescent="0.45">
      <c r="A133" s="56">
        <v>1</v>
      </c>
      <c r="B133" s="84" t="s">
        <v>507</v>
      </c>
      <c r="C133" s="35">
        <v>0</v>
      </c>
    </row>
    <row r="134" spans="1:3" x14ac:dyDescent="0.45">
      <c r="A134" s="56">
        <v>0.96250000000000002</v>
      </c>
      <c r="B134" s="84" t="s">
        <v>504</v>
      </c>
      <c r="C134" s="35">
        <v>6</v>
      </c>
    </row>
    <row r="135" spans="1:3" x14ac:dyDescent="0.45">
      <c r="A135" s="56">
        <v>0.16666666666666666</v>
      </c>
      <c r="B135" s="84" t="s">
        <v>508</v>
      </c>
      <c r="C135" s="35">
        <v>0</v>
      </c>
    </row>
    <row r="136" spans="1:3" x14ac:dyDescent="0.45">
      <c r="A136" s="56">
        <v>0.39166666666666666</v>
      </c>
      <c r="B136" s="84" t="s">
        <v>505</v>
      </c>
      <c r="C136" s="35">
        <v>24</v>
      </c>
    </row>
    <row r="162" spans="1:5" x14ac:dyDescent="0.45">
      <c r="A162" s="61" t="s">
        <v>251</v>
      </c>
      <c r="B162" s="61" t="s">
        <v>252</v>
      </c>
      <c r="D162" s="61" t="s">
        <v>253</v>
      </c>
      <c r="E162" s="61" t="s">
        <v>252</v>
      </c>
    </row>
    <row r="163" spans="1:5" x14ac:dyDescent="0.45">
      <c r="A163" s="57">
        <v>2065874545</v>
      </c>
      <c r="B163" s="35" t="s">
        <v>254</v>
      </c>
      <c r="D163" s="35">
        <v>880712259</v>
      </c>
      <c r="E163" s="35" t="s">
        <v>255</v>
      </c>
    </row>
    <row r="164" spans="1:5" x14ac:dyDescent="0.45">
      <c r="A164" s="57">
        <v>2536987455</v>
      </c>
      <c r="B164" s="35" t="s">
        <v>256</v>
      </c>
      <c r="D164" s="35">
        <v>880709467</v>
      </c>
      <c r="E164" s="35" t="s">
        <v>257</v>
      </c>
    </row>
    <row r="165" spans="1:5" x14ac:dyDescent="0.45">
      <c r="A165" s="57">
        <v>2159874439</v>
      </c>
      <c r="B165" s="35" t="s">
        <v>258</v>
      </c>
      <c r="D165" s="35">
        <v>880527987</v>
      </c>
      <c r="E165" s="35" t="s">
        <v>259</v>
      </c>
    </row>
    <row r="166" spans="1:5" x14ac:dyDescent="0.45">
      <c r="A166" s="57">
        <v>4156559933</v>
      </c>
      <c r="B166" s="35" t="s">
        <v>260</v>
      </c>
      <c r="D166" s="35">
        <v>998613133</v>
      </c>
      <c r="E166" s="35" t="s">
        <v>261</v>
      </c>
    </row>
    <row r="167" spans="1:5" x14ac:dyDescent="0.45">
      <c r="A167" s="57">
        <v>5105557845</v>
      </c>
      <c r="B167" s="35" t="s">
        <v>262</v>
      </c>
      <c r="D167" s="35">
        <v>880945725</v>
      </c>
      <c r="E167" s="35" t="s">
        <v>263</v>
      </c>
    </row>
    <row r="168" spans="1:5" x14ac:dyDescent="0.45">
      <c r="A168" s="58"/>
    </row>
    <row r="169" spans="1:5" x14ac:dyDescent="0.45">
      <c r="A169" s="58"/>
    </row>
    <row r="170" spans="1:5" x14ac:dyDescent="0.45">
      <c r="A170" s="58"/>
    </row>
    <row r="171" spans="1:5" x14ac:dyDescent="0.45">
      <c r="A171" s="58"/>
    </row>
    <row r="172" spans="1:5" x14ac:dyDescent="0.45">
      <c r="A172" s="58"/>
    </row>
    <row r="173" spans="1:5" x14ac:dyDescent="0.45">
      <c r="A173" s="58"/>
    </row>
    <row r="174" spans="1:5" x14ac:dyDescent="0.45">
      <c r="A174" s="58"/>
    </row>
    <row r="175" spans="1:5" x14ac:dyDescent="0.45">
      <c r="A175" s="58"/>
    </row>
    <row r="176" spans="1:5" x14ac:dyDescent="0.45">
      <c r="A176" s="61" t="s">
        <v>264</v>
      </c>
      <c r="B176" s="61" t="s">
        <v>265</v>
      </c>
      <c r="C176" s="61" t="s">
        <v>266</v>
      </c>
      <c r="D176" s="61" t="s">
        <v>267</v>
      </c>
    </row>
    <row r="177" spans="1:6" x14ac:dyDescent="0.45">
      <c r="A177" s="59">
        <v>97.65</v>
      </c>
      <c r="B177" s="35">
        <v>97</v>
      </c>
      <c r="C177" s="35">
        <v>65</v>
      </c>
      <c r="D177" s="35" t="s">
        <v>509</v>
      </c>
    </row>
    <row r="178" spans="1:6" x14ac:dyDescent="0.45">
      <c r="A178" s="59">
        <v>51.04</v>
      </c>
      <c r="B178" s="35">
        <v>51</v>
      </c>
      <c r="C178" s="35">
        <v>4</v>
      </c>
      <c r="D178" s="35" t="s">
        <v>510</v>
      </c>
    </row>
    <row r="179" spans="1:6" x14ac:dyDescent="0.45">
      <c r="A179" s="59">
        <v>21.96</v>
      </c>
      <c r="B179" s="35">
        <v>21</v>
      </c>
      <c r="C179" s="35">
        <v>96</v>
      </c>
      <c r="D179" s="35" t="s">
        <v>511</v>
      </c>
    </row>
    <row r="180" spans="1:6" x14ac:dyDescent="0.45">
      <c r="A180" s="59">
        <v>50.6</v>
      </c>
      <c r="B180" s="35">
        <v>50</v>
      </c>
      <c r="C180" s="35">
        <v>60</v>
      </c>
      <c r="D180" s="35" t="s">
        <v>512</v>
      </c>
    </row>
    <row r="181" spans="1:6" x14ac:dyDescent="0.45">
      <c r="A181" s="59">
        <v>35.74</v>
      </c>
      <c r="B181" s="35">
        <v>35</v>
      </c>
      <c r="C181" s="35">
        <v>74</v>
      </c>
      <c r="D181" s="35" t="s">
        <v>513</v>
      </c>
    </row>
    <row r="182" spans="1:6" x14ac:dyDescent="0.45">
      <c r="A182" s="59">
        <v>12.33</v>
      </c>
      <c r="B182" s="35">
        <v>12</v>
      </c>
      <c r="C182" s="35">
        <v>33</v>
      </c>
      <c r="D182" s="35" t="s">
        <v>514</v>
      </c>
    </row>
    <row r="183" spans="1:6" x14ac:dyDescent="0.45">
      <c r="A183" s="59">
        <v>74.209999999999994</v>
      </c>
      <c r="B183" s="35">
        <v>74</v>
      </c>
      <c r="C183" s="35">
        <v>21</v>
      </c>
      <c r="D183" s="35" t="s">
        <v>515</v>
      </c>
    </row>
    <row r="184" spans="1:6" x14ac:dyDescent="0.45">
      <c r="A184" s="59">
        <v>49.34</v>
      </c>
      <c r="B184" s="35">
        <v>49</v>
      </c>
      <c r="C184" s="35">
        <v>34</v>
      </c>
      <c r="D184" s="35" t="s">
        <v>516</v>
      </c>
    </row>
    <row r="185" spans="1:6" x14ac:dyDescent="0.45">
      <c r="A185" s="59">
        <v>65.56</v>
      </c>
      <c r="B185" s="35">
        <v>65</v>
      </c>
      <c r="C185" s="35">
        <v>56</v>
      </c>
      <c r="D185" s="35" t="s">
        <v>517</v>
      </c>
    </row>
    <row r="186" spans="1:6" x14ac:dyDescent="0.45">
      <c r="A186" s="59">
        <v>31.2</v>
      </c>
      <c r="B186" s="35">
        <v>31</v>
      </c>
      <c r="C186" s="35">
        <v>20</v>
      </c>
      <c r="D186" s="35" t="s">
        <v>518</v>
      </c>
    </row>
    <row r="187" spans="1:6" x14ac:dyDescent="0.45">
      <c r="A187" s="58"/>
      <c r="D187"/>
    </row>
    <row r="188" spans="1:6" x14ac:dyDescent="0.45">
      <c r="A188" s="60"/>
      <c r="B188"/>
      <c r="C188"/>
      <c r="D188"/>
      <c r="E188"/>
      <c r="F188"/>
    </row>
    <row r="189" spans="1:6" x14ac:dyDescent="0.45">
      <c r="A189" s="60"/>
      <c r="B189"/>
      <c r="C189"/>
      <c r="D189"/>
      <c r="E189"/>
      <c r="F189"/>
    </row>
    <row r="190" spans="1:6" x14ac:dyDescent="0.45">
      <c r="A190" s="60"/>
      <c r="B190"/>
      <c r="C190"/>
      <c r="D190"/>
      <c r="E190"/>
      <c r="F190"/>
    </row>
    <row r="191" spans="1:6" x14ac:dyDescent="0.45">
      <c r="A191" s="60"/>
      <c r="B191"/>
      <c r="C191"/>
      <c r="D191"/>
      <c r="E191"/>
      <c r="F191"/>
    </row>
    <row r="192" spans="1:6" x14ac:dyDescent="0.45">
      <c r="A192" s="60"/>
      <c r="B192"/>
      <c r="C192"/>
      <c r="D192"/>
      <c r="E192"/>
      <c r="F192"/>
    </row>
    <row r="193" spans="1:6" x14ac:dyDescent="0.45">
      <c r="A193" s="60"/>
      <c r="B193"/>
      <c r="C193"/>
      <c r="D193"/>
      <c r="E193"/>
      <c r="F193"/>
    </row>
    <row r="194" spans="1:6" x14ac:dyDescent="0.45">
      <c r="A194" s="60"/>
      <c r="B194"/>
      <c r="C194"/>
      <c r="D194"/>
      <c r="E194"/>
      <c r="F194"/>
    </row>
    <row r="195" spans="1:6" x14ac:dyDescent="0.45">
      <c r="A195" s="60"/>
      <c r="B195"/>
      <c r="C195"/>
      <c r="D195"/>
      <c r="E195"/>
      <c r="F195"/>
    </row>
    <row r="196" spans="1:6" x14ac:dyDescent="0.45">
      <c r="A196" s="60"/>
      <c r="B196"/>
      <c r="C196"/>
      <c r="D196"/>
      <c r="E196"/>
      <c r="F196"/>
    </row>
    <row r="197" spans="1:6" x14ac:dyDescent="0.45">
      <c r="A197" s="60"/>
      <c r="B197"/>
      <c r="C197"/>
      <c r="D197"/>
      <c r="E197"/>
      <c r="F197"/>
    </row>
    <row r="198" spans="1:6" x14ac:dyDescent="0.45">
      <c r="A198" s="60"/>
      <c r="B198"/>
      <c r="C198"/>
      <c r="D198"/>
      <c r="E198"/>
      <c r="F198"/>
    </row>
    <row r="199" spans="1:6" x14ac:dyDescent="0.45">
      <c r="A199" s="60"/>
      <c r="B199"/>
      <c r="C199"/>
      <c r="D199"/>
      <c r="E199"/>
      <c r="F199"/>
    </row>
    <row r="200" spans="1:6" x14ac:dyDescent="0.45">
      <c r="A200" s="60"/>
      <c r="B200"/>
      <c r="C200"/>
      <c r="D200"/>
      <c r="E200"/>
      <c r="F200"/>
    </row>
    <row r="201" spans="1:6" x14ac:dyDescent="0.45">
      <c r="A201" s="60"/>
      <c r="B201"/>
      <c r="C201"/>
      <c r="D201"/>
      <c r="E201"/>
      <c r="F201"/>
    </row>
    <row r="202" spans="1:6" x14ac:dyDescent="0.45">
      <c r="A202" s="60"/>
      <c r="B202"/>
      <c r="C202"/>
      <c r="D202"/>
      <c r="E202"/>
      <c r="F202"/>
    </row>
    <row r="203" spans="1:6" x14ac:dyDescent="0.45">
      <c r="A203" s="60"/>
      <c r="B203"/>
      <c r="C203"/>
      <c r="D203"/>
      <c r="E203"/>
      <c r="F203"/>
    </row>
    <row r="204" spans="1:6" x14ac:dyDescent="0.45">
      <c r="A204" s="60"/>
      <c r="B204"/>
      <c r="C204"/>
      <c r="D204"/>
      <c r="E204"/>
      <c r="F204"/>
    </row>
    <row r="205" spans="1:6" x14ac:dyDescent="0.45">
      <c r="A205" s="60"/>
      <c r="B205"/>
      <c r="C205"/>
      <c r="D205"/>
      <c r="E205"/>
      <c r="F205"/>
    </row>
    <row r="206" spans="1:6" x14ac:dyDescent="0.45">
      <c r="A206" s="60"/>
      <c r="B206"/>
      <c r="C206"/>
      <c r="D206"/>
      <c r="E206"/>
      <c r="F206"/>
    </row>
    <row r="207" spans="1:6" x14ac:dyDescent="0.45">
      <c r="A207" s="60"/>
      <c r="B207"/>
      <c r="C207"/>
      <c r="D207"/>
      <c r="E207"/>
      <c r="F207"/>
    </row>
    <row r="208" spans="1:6" x14ac:dyDescent="0.45">
      <c r="A208" s="60"/>
      <c r="B208"/>
      <c r="C208"/>
      <c r="D208"/>
      <c r="E208"/>
      <c r="F208"/>
    </row>
    <row r="209" spans="1:6" x14ac:dyDescent="0.45">
      <c r="A209" s="60"/>
      <c r="B209"/>
      <c r="C209"/>
      <c r="D209"/>
      <c r="E209"/>
      <c r="F209"/>
    </row>
    <row r="210" spans="1:6" x14ac:dyDescent="0.45">
      <c r="A210" s="60"/>
      <c r="B210"/>
      <c r="C210"/>
      <c r="D210"/>
      <c r="E210"/>
      <c r="F210"/>
    </row>
    <row r="211" spans="1:6" x14ac:dyDescent="0.45">
      <c r="A211" s="60"/>
      <c r="B211"/>
      <c r="C211"/>
      <c r="D211"/>
      <c r="E211"/>
      <c r="F211"/>
    </row>
    <row r="212" spans="1:6" x14ac:dyDescent="0.45">
      <c r="A212" s="60"/>
      <c r="B212"/>
      <c r="C212"/>
      <c r="D212"/>
      <c r="E212"/>
      <c r="F212"/>
    </row>
    <row r="213" spans="1:6" x14ac:dyDescent="0.45">
      <c r="A213" s="60"/>
      <c r="B213"/>
      <c r="C213"/>
      <c r="D213"/>
      <c r="E213"/>
      <c r="F213"/>
    </row>
    <row r="214" spans="1:6" x14ac:dyDescent="0.45">
      <c r="A214" s="60"/>
      <c r="B214"/>
      <c r="C214"/>
      <c r="D214"/>
      <c r="E214"/>
      <c r="F214"/>
    </row>
    <row r="215" spans="1:6" x14ac:dyDescent="0.45">
      <c r="A215" s="60"/>
      <c r="B215"/>
      <c r="C215"/>
      <c r="D215"/>
      <c r="E215"/>
      <c r="F215"/>
    </row>
    <row r="216" spans="1:6" x14ac:dyDescent="0.45">
      <c r="A216" s="60"/>
      <c r="B216"/>
      <c r="C216"/>
      <c r="D216"/>
      <c r="E216"/>
      <c r="F216"/>
    </row>
    <row r="217" spans="1:6" x14ac:dyDescent="0.45">
      <c r="A217" s="60"/>
      <c r="B217"/>
      <c r="C217"/>
      <c r="D217"/>
      <c r="E217"/>
      <c r="F217"/>
    </row>
    <row r="218" spans="1:6" x14ac:dyDescent="0.45">
      <c r="A218" s="60"/>
      <c r="B218"/>
      <c r="C218"/>
      <c r="D218"/>
      <c r="E218"/>
      <c r="F218"/>
    </row>
    <row r="219" spans="1:6" x14ac:dyDescent="0.45">
      <c r="A219" s="60"/>
      <c r="B219"/>
      <c r="C219"/>
      <c r="D219"/>
      <c r="E219"/>
      <c r="F219"/>
    </row>
    <row r="220" spans="1:6" x14ac:dyDescent="0.45">
      <c r="A220" s="60"/>
      <c r="B220"/>
      <c r="C220"/>
      <c r="D220"/>
      <c r="E220"/>
      <c r="F220"/>
    </row>
    <row r="221" spans="1:6" x14ac:dyDescent="0.45">
      <c r="A221" s="60"/>
      <c r="B221"/>
      <c r="C221"/>
      <c r="D221"/>
      <c r="E221"/>
      <c r="F221"/>
    </row>
    <row r="222" spans="1:6" x14ac:dyDescent="0.45">
      <c r="A222" s="60"/>
      <c r="B222"/>
      <c r="C222"/>
      <c r="D222"/>
      <c r="E222"/>
      <c r="F222"/>
    </row>
    <row r="223" spans="1:6" x14ac:dyDescent="0.45">
      <c r="A223" s="60"/>
      <c r="B223"/>
      <c r="C223"/>
      <c r="D223"/>
      <c r="E223"/>
      <c r="F223"/>
    </row>
    <row r="224" spans="1:6" x14ac:dyDescent="0.45">
      <c r="A224" s="60"/>
      <c r="B224"/>
      <c r="C224"/>
      <c r="D224"/>
      <c r="E224"/>
      <c r="F224"/>
    </row>
    <row r="225" spans="1:6" x14ac:dyDescent="0.45">
      <c r="A225" s="60"/>
      <c r="B225"/>
      <c r="C225"/>
      <c r="D225"/>
      <c r="E225"/>
      <c r="F225"/>
    </row>
    <row r="226" spans="1:6" x14ac:dyDescent="0.45">
      <c r="A226" s="60"/>
      <c r="B226"/>
      <c r="C226"/>
      <c r="D226"/>
      <c r="E226"/>
      <c r="F226"/>
    </row>
    <row r="227" spans="1:6" x14ac:dyDescent="0.45">
      <c r="A227" s="60"/>
      <c r="B227"/>
      <c r="C227"/>
      <c r="D227"/>
      <c r="E227"/>
      <c r="F227"/>
    </row>
    <row r="228" spans="1:6" x14ac:dyDescent="0.45">
      <c r="A228" s="60"/>
      <c r="B228"/>
      <c r="C228"/>
      <c r="D228"/>
      <c r="E228"/>
      <c r="F228"/>
    </row>
    <row r="229" spans="1:6" x14ac:dyDescent="0.45">
      <c r="A229" s="60"/>
      <c r="B229"/>
      <c r="C229"/>
      <c r="D229"/>
      <c r="E229"/>
      <c r="F229"/>
    </row>
    <row r="230" spans="1:6" x14ac:dyDescent="0.45">
      <c r="A230" s="60"/>
      <c r="B230"/>
      <c r="C230"/>
      <c r="D230"/>
      <c r="E230"/>
      <c r="F230"/>
    </row>
    <row r="231" spans="1:6" x14ac:dyDescent="0.45">
      <c r="A231" s="60"/>
      <c r="B231"/>
      <c r="C231"/>
      <c r="D231"/>
      <c r="E231"/>
      <c r="F231"/>
    </row>
    <row r="232" spans="1:6" x14ac:dyDescent="0.45">
      <c r="A232" s="60"/>
      <c r="B232"/>
      <c r="C232"/>
      <c r="D232"/>
      <c r="E232"/>
      <c r="F232"/>
    </row>
    <row r="233" spans="1:6" x14ac:dyDescent="0.45">
      <c r="A233" s="60"/>
      <c r="B233"/>
      <c r="C233"/>
      <c r="D233"/>
      <c r="E233"/>
      <c r="F233"/>
    </row>
    <row r="234" spans="1:6" x14ac:dyDescent="0.45">
      <c r="A234" s="60"/>
      <c r="B234"/>
      <c r="C234"/>
      <c r="D234"/>
      <c r="E234"/>
      <c r="F234"/>
    </row>
    <row r="235" spans="1:6" x14ac:dyDescent="0.45">
      <c r="A235" s="60"/>
      <c r="B235"/>
      <c r="C235"/>
      <c r="D235"/>
      <c r="E235"/>
      <c r="F235"/>
    </row>
    <row r="236" spans="1:6" x14ac:dyDescent="0.45">
      <c r="A236" s="60"/>
      <c r="B236"/>
      <c r="C236"/>
      <c r="D236"/>
      <c r="E236"/>
      <c r="F236"/>
    </row>
    <row r="237" spans="1:6" x14ac:dyDescent="0.45">
      <c r="A237" s="60"/>
      <c r="B237"/>
      <c r="C237"/>
      <c r="D237"/>
      <c r="E237"/>
      <c r="F237"/>
    </row>
    <row r="238" spans="1:6" x14ac:dyDescent="0.45">
      <c r="A238" s="60"/>
      <c r="B238"/>
      <c r="C238"/>
      <c r="D238"/>
      <c r="E238"/>
      <c r="F238"/>
    </row>
    <row r="239" spans="1:6" x14ac:dyDescent="0.45">
      <c r="A239" s="60"/>
      <c r="B239"/>
      <c r="C239"/>
      <c r="D239"/>
      <c r="E239"/>
      <c r="F239"/>
    </row>
    <row r="240" spans="1:6" x14ac:dyDescent="0.45">
      <c r="A240" s="60"/>
      <c r="B240"/>
      <c r="C240"/>
      <c r="D240"/>
      <c r="E240"/>
      <c r="F240"/>
    </row>
    <row r="241" spans="1:6" x14ac:dyDescent="0.45">
      <c r="A241" s="60"/>
      <c r="B241"/>
      <c r="C241"/>
      <c r="D241"/>
      <c r="E241"/>
      <c r="F241"/>
    </row>
    <row r="242" spans="1:6" x14ac:dyDescent="0.45">
      <c r="A242" s="60"/>
      <c r="B242"/>
      <c r="C242"/>
      <c r="D242"/>
      <c r="E242"/>
      <c r="F242"/>
    </row>
    <row r="243" spans="1:6" x14ac:dyDescent="0.45">
      <c r="A243" s="60"/>
      <c r="B243"/>
      <c r="C243"/>
      <c r="D243"/>
      <c r="E243"/>
      <c r="F243"/>
    </row>
    <row r="244" spans="1:6" x14ac:dyDescent="0.45">
      <c r="A244" s="60"/>
      <c r="B244"/>
      <c r="C244"/>
      <c r="D244"/>
      <c r="E244"/>
      <c r="F244"/>
    </row>
    <row r="245" spans="1:6" x14ac:dyDescent="0.45">
      <c r="A245" s="60"/>
      <c r="B245"/>
      <c r="C245"/>
      <c r="D245"/>
      <c r="E245"/>
      <c r="F245"/>
    </row>
    <row r="246" spans="1:6" x14ac:dyDescent="0.45">
      <c r="A246" s="60"/>
      <c r="B246"/>
      <c r="C246"/>
      <c r="D246"/>
      <c r="E246"/>
      <c r="F246"/>
    </row>
    <row r="247" spans="1:6" x14ac:dyDescent="0.45">
      <c r="A247" s="60"/>
      <c r="B247"/>
      <c r="C247"/>
      <c r="D247"/>
      <c r="E247"/>
      <c r="F247"/>
    </row>
    <row r="248" spans="1:6" x14ac:dyDescent="0.45">
      <c r="A248" s="60"/>
      <c r="B248"/>
      <c r="C248"/>
      <c r="D248"/>
      <c r="E248"/>
      <c r="F248"/>
    </row>
  </sheetData>
  <mergeCells count="2">
    <mergeCell ref="A1:B1"/>
    <mergeCell ref="A2:B2"/>
  </mergeCells>
  <hyperlinks>
    <hyperlink ref="D56" r:id="rId1" xr:uid="{4AB8DF5E-33BB-477E-9056-5666D46E693B}"/>
    <hyperlink ref="D57" r:id="rId2" xr:uid="{7F62AA0E-9412-490B-B2A7-2BAEB2FA483B}"/>
    <hyperlink ref="D58" r:id="rId3" xr:uid="{BE7F7D29-DFB2-494B-BC0A-F75E7CB271EA}"/>
    <hyperlink ref="D59" r:id="rId4" xr:uid="{2F2AF86A-E099-433E-812A-E0E92DB673F7}"/>
    <hyperlink ref="D60" r:id="rId5" xr:uid="{5CC276EC-9475-4811-AFEF-B61E24183C79}"/>
    <hyperlink ref="D61" r:id="rId6" xr:uid="{BBAE19F7-438E-4DBF-BAB1-6BC33D957B8A}"/>
    <hyperlink ref="D62" r:id="rId7" xr:uid="{A54F17A2-7450-48DF-8983-3383915477C2}"/>
    <hyperlink ref="D63" r:id="rId8" xr:uid="{99BFDFFD-C46E-4CDE-AFCB-D0FCBBBF26CA}"/>
    <hyperlink ref="D64" r:id="rId9" xr:uid="{6389DEA0-9FEF-4B95-A713-1B5CDAD439D8}"/>
    <hyperlink ref="D65" r:id="rId10" xr:uid="{D11B9835-1E83-455E-BE1C-BFFF97AC337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E886-C61F-4BCF-A7DB-E53FF399F6EE}">
  <dimension ref="A1:F52"/>
  <sheetViews>
    <sheetView showGridLines="0" zoomScale="150" zoomScaleNormal="150" workbookViewId="0">
      <selection activeCell="A6" sqref="A6"/>
    </sheetView>
  </sheetViews>
  <sheetFormatPr defaultColWidth="14.21875" defaultRowHeight="14.4" x14ac:dyDescent="0.3"/>
  <cols>
    <col min="1" max="1" width="31.5546875" bestFit="1" customWidth="1"/>
    <col min="2" max="4" width="14.88671875" customWidth="1"/>
  </cols>
  <sheetData>
    <row r="1" spans="1:6" ht="19.2" x14ac:dyDescent="0.3">
      <c r="A1" s="71" t="s">
        <v>365</v>
      </c>
      <c r="C1">
        <v>10</v>
      </c>
    </row>
    <row r="2" spans="1:6" ht="19.2" x14ac:dyDescent="0.3">
      <c r="A2" s="71" t="s">
        <v>366</v>
      </c>
      <c r="C2">
        <v>20</v>
      </c>
    </row>
    <row r="3" spans="1:6" ht="19.2" x14ac:dyDescent="0.3">
      <c r="A3" s="71" t="s">
        <v>367</v>
      </c>
      <c r="C3">
        <v>30</v>
      </c>
    </row>
    <row r="4" spans="1:6" ht="19.2" x14ac:dyDescent="0.3">
      <c r="A4" s="71" t="s">
        <v>368</v>
      </c>
      <c r="C4">
        <v>40</v>
      </c>
    </row>
    <row r="5" spans="1:6" ht="19.2" x14ac:dyDescent="0.3">
      <c r="A5" s="71" t="s">
        <v>369</v>
      </c>
      <c r="C5">
        <v>50</v>
      </c>
    </row>
    <row r="6" spans="1:6" ht="19.2" x14ac:dyDescent="0.3">
      <c r="A6" s="71" t="s">
        <v>519</v>
      </c>
      <c r="C6">
        <v>60</v>
      </c>
      <c r="F6" t="s">
        <v>520</v>
      </c>
    </row>
    <row r="7" spans="1:6" x14ac:dyDescent="0.3">
      <c r="C7">
        <v>70</v>
      </c>
    </row>
    <row r="8" spans="1:6" x14ac:dyDescent="0.3">
      <c r="C8">
        <v>80</v>
      </c>
    </row>
    <row r="9" spans="1:6" x14ac:dyDescent="0.3">
      <c r="C9">
        <v>90</v>
      </c>
    </row>
    <row r="10" spans="1:6" x14ac:dyDescent="0.3">
      <c r="C10">
        <v>100</v>
      </c>
    </row>
    <row r="11" spans="1:6" x14ac:dyDescent="0.3">
      <c r="C11">
        <v>500</v>
      </c>
    </row>
    <row r="12" spans="1:6" x14ac:dyDescent="0.3">
      <c r="C12">
        <v>600</v>
      </c>
    </row>
    <row r="13" spans="1:6" x14ac:dyDescent="0.3">
      <c r="C13">
        <v>700</v>
      </c>
    </row>
    <row r="42" spans="1:4" ht="19.2" x14ac:dyDescent="0.3">
      <c r="A42" s="68" t="s">
        <v>269</v>
      </c>
      <c r="B42" s="68" t="s">
        <v>270</v>
      </c>
      <c r="C42" s="68" t="s">
        <v>271</v>
      </c>
      <c r="D42" s="68" t="s">
        <v>272</v>
      </c>
    </row>
    <row r="43" spans="1:4" ht="19.2" x14ac:dyDescent="0.45">
      <c r="A43" s="35" t="s">
        <v>273</v>
      </c>
      <c r="B43" s="62">
        <v>44442</v>
      </c>
      <c r="C43" s="41" t="s">
        <v>274</v>
      </c>
      <c r="D43" s="63">
        <v>15000</v>
      </c>
    </row>
    <row r="44" spans="1:4" ht="19.2" x14ac:dyDescent="0.45">
      <c r="A44" s="35" t="s">
        <v>275</v>
      </c>
      <c r="B44" s="62">
        <v>43906</v>
      </c>
      <c r="C44" s="41" t="s">
        <v>274</v>
      </c>
      <c r="D44" s="63">
        <v>21000</v>
      </c>
    </row>
    <row r="45" spans="1:4" ht="19.2" x14ac:dyDescent="0.45">
      <c r="A45" s="35" t="s">
        <v>276</v>
      </c>
      <c r="B45" s="62">
        <v>44485</v>
      </c>
      <c r="C45" s="41" t="s">
        <v>277</v>
      </c>
      <c r="D45" s="63">
        <v>14000</v>
      </c>
    </row>
    <row r="46" spans="1:4" ht="19.2" x14ac:dyDescent="0.45">
      <c r="A46" s="35" t="s">
        <v>278</v>
      </c>
      <c r="B46" s="62">
        <v>44298</v>
      </c>
      <c r="C46" s="41" t="s">
        <v>277</v>
      </c>
      <c r="D46" s="63">
        <v>30000</v>
      </c>
    </row>
    <row r="47" spans="1:4" ht="19.2" x14ac:dyDescent="0.45">
      <c r="A47" s="35" t="s">
        <v>228</v>
      </c>
      <c r="B47" s="62">
        <v>43890</v>
      </c>
      <c r="C47" s="41" t="s">
        <v>279</v>
      </c>
      <c r="D47" s="63">
        <v>17000</v>
      </c>
    </row>
    <row r="48" spans="1:4" ht="19.2" x14ac:dyDescent="0.45">
      <c r="A48" s="35" t="s">
        <v>280</v>
      </c>
      <c r="B48" s="62">
        <v>44051</v>
      </c>
      <c r="C48" s="41" t="s">
        <v>279</v>
      </c>
      <c r="D48" s="63">
        <v>25000</v>
      </c>
    </row>
    <row r="49" spans="1:4" ht="19.2" x14ac:dyDescent="0.45">
      <c r="A49" s="35" t="s">
        <v>281</v>
      </c>
      <c r="B49" s="62">
        <v>43863</v>
      </c>
      <c r="C49" s="41" t="s">
        <v>282</v>
      </c>
      <c r="D49" s="63">
        <v>12000</v>
      </c>
    </row>
    <row r="50" spans="1:4" ht="19.2" x14ac:dyDescent="0.45">
      <c r="A50" s="35" t="s">
        <v>283</v>
      </c>
      <c r="B50" s="62">
        <v>44461</v>
      </c>
      <c r="C50" s="41" t="s">
        <v>282</v>
      </c>
      <c r="D50" s="63">
        <v>16000</v>
      </c>
    </row>
    <row r="51" spans="1:4" ht="19.2" x14ac:dyDescent="0.45">
      <c r="A51" s="35" t="s">
        <v>284</v>
      </c>
      <c r="B51" s="62">
        <v>44491</v>
      </c>
      <c r="C51" s="41" t="s">
        <v>285</v>
      </c>
      <c r="D51" s="63">
        <v>20000</v>
      </c>
    </row>
    <row r="52" spans="1:4" ht="19.2" x14ac:dyDescent="0.45">
      <c r="A52" s="35" t="s">
        <v>286</v>
      </c>
      <c r="B52" s="62">
        <v>44313</v>
      </c>
      <c r="C52" s="41" t="s">
        <v>287</v>
      </c>
      <c r="D52" s="63">
        <v>14000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D26C-506E-4D45-B73C-29F3584E1492}">
  <dimension ref="A2:F231"/>
  <sheetViews>
    <sheetView showGridLines="0" zoomScale="130" zoomScaleNormal="130" workbookViewId="0">
      <selection activeCell="F9" sqref="F9"/>
    </sheetView>
  </sheetViews>
  <sheetFormatPr defaultRowHeight="19.2" x14ac:dyDescent="0.45"/>
  <cols>
    <col min="1" max="4" width="20.77734375" style="28" customWidth="1"/>
    <col min="5" max="5" width="22.21875" style="28" customWidth="1"/>
    <col min="6" max="6" width="20.33203125" style="28" customWidth="1"/>
    <col min="7" max="7" width="19" style="28" customWidth="1"/>
    <col min="8" max="16384" width="8.88671875" style="28"/>
  </cols>
  <sheetData>
    <row r="2" spans="1:6" x14ac:dyDescent="0.45">
      <c r="A2" s="65" t="s">
        <v>288</v>
      </c>
      <c r="B2" s="65" t="s">
        <v>301</v>
      </c>
      <c r="C2" s="65" t="s">
        <v>324</v>
      </c>
      <c r="D2" s="65" t="s">
        <v>357</v>
      </c>
      <c r="E2" s="65" t="s">
        <v>360</v>
      </c>
      <c r="F2" s="65" t="s">
        <v>363</v>
      </c>
    </row>
    <row r="3" spans="1:6" x14ac:dyDescent="0.45">
      <c r="A3" s="65" t="s">
        <v>289</v>
      </c>
      <c r="B3" s="65" t="s">
        <v>302</v>
      </c>
      <c r="C3" s="65" t="s">
        <v>325</v>
      </c>
      <c r="D3" s="65" t="s">
        <v>358</v>
      </c>
      <c r="E3" s="65" t="s">
        <v>361</v>
      </c>
      <c r="F3" s="65" t="s">
        <v>364</v>
      </c>
    </row>
    <row r="4" spans="1:6" x14ac:dyDescent="0.45">
      <c r="A4" s="65" t="s">
        <v>290</v>
      </c>
      <c r="B4" s="65" t="s">
        <v>303</v>
      </c>
      <c r="C4" s="65" t="s">
        <v>326</v>
      </c>
      <c r="D4" s="65" t="s">
        <v>359</v>
      </c>
      <c r="E4" s="65" t="s">
        <v>362</v>
      </c>
    </row>
    <row r="5" spans="1:6" x14ac:dyDescent="0.45">
      <c r="B5" s="66" t="s">
        <v>304</v>
      </c>
    </row>
    <row r="23" spans="1:6" x14ac:dyDescent="0.45">
      <c r="A23" s="68" t="s">
        <v>269</v>
      </c>
      <c r="B23" s="68" t="s">
        <v>270</v>
      </c>
      <c r="C23" s="68" t="s">
        <v>271</v>
      </c>
      <c r="D23" s="68" t="s">
        <v>272</v>
      </c>
      <c r="F23" s="65" t="s">
        <v>288</v>
      </c>
    </row>
    <row r="24" spans="1:6" x14ac:dyDescent="0.45">
      <c r="A24" s="35" t="s">
        <v>273</v>
      </c>
      <c r="B24" s="62">
        <v>44442</v>
      </c>
      <c r="C24" s="41" t="s">
        <v>274</v>
      </c>
      <c r="D24" s="63">
        <v>15000</v>
      </c>
      <c r="F24" s="65" t="s">
        <v>289</v>
      </c>
    </row>
    <row r="25" spans="1:6" x14ac:dyDescent="0.45">
      <c r="A25" s="35" t="s">
        <v>275</v>
      </c>
      <c r="B25" s="62">
        <v>43906</v>
      </c>
      <c r="C25" s="41" t="s">
        <v>274</v>
      </c>
      <c r="D25" s="63">
        <v>21000</v>
      </c>
      <c r="F25" s="65" t="s">
        <v>290</v>
      </c>
    </row>
    <row r="26" spans="1:6" x14ac:dyDescent="0.45">
      <c r="A26" s="35" t="s">
        <v>276</v>
      </c>
      <c r="B26" s="62">
        <v>44485</v>
      </c>
      <c r="C26" s="41" t="s">
        <v>277</v>
      </c>
      <c r="D26" s="63">
        <v>14000</v>
      </c>
    </row>
    <row r="27" spans="1:6" x14ac:dyDescent="0.45">
      <c r="A27" s="35" t="s">
        <v>278</v>
      </c>
      <c r="B27" s="62">
        <v>44298</v>
      </c>
      <c r="C27" s="41" t="s">
        <v>277</v>
      </c>
      <c r="D27" s="63">
        <v>30000</v>
      </c>
    </row>
    <row r="28" spans="1:6" x14ac:dyDescent="0.45">
      <c r="A28" s="35" t="s">
        <v>228</v>
      </c>
      <c r="B28" s="62">
        <v>43890</v>
      </c>
      <c r="C28" s="41" t="s">
        <v>279</v>
      </c>
      <c r="D28" s="63">
        <v>17000</v>
      </c>
    </row>
    <row r="29" spans="1:6" x14ac:dyDescent="0.45">
      <c r="A29" s="35" t="s">
        <v>280</v>
      </c>
      <c r="B29" s="62">
        <v>44051</v>
      </c>
      <c r="C29" s="41" t="s">
        <v>279</v>
      </c>
      <c r="D29" s="63">
        <v>25000</v>
      </c>
    </row>
    <row r="30" spans="1:6" x14ac:dyDescent="0.45">
      <c r="A30" s="35" t="s">
        <v>281</v>
      </c>
      <c r="B30" s="62">
        <v>43863</v>
      </c>
      <c r="C30" s="41" t="s">
        <v>282</v>
      </c>
      <c r="D30" s="63">
        <v>50000</v>
      </c>
    </row>
    <row r="31" spans="1:6" x14ac:dyDescent="0.45">
      <c r="A31" s="35" t="s">
        <v>283</v>
      </c>
      <c r="B31" s="62">
        <v>44461</v>
      </c>
      <c r="C31" s="41" t="s">
        <v>282</v>
      </c>
      <c r="D31" s="63">
        <v>28000</v>
      </c>
    </row>
    <row r="32" spans="1:6" x14ac:dyDescent="0.45">
      <c r="A32" s="35" t="s">
        <v>284</v>
      </c>
      <c r="B32" s="62">
        <v>44491</v>
      </c>
      <c r="C32" s="41" t="s">
        <v>285</v>
      </c>
      <c r="D32" s="63">
        <v>20000</v>
      </c>
    </row>
    <row r="33" spans="1:4" x14ac:dyDescent="0.45">
      <c r="A33" s="35" t="s">
        <v>286</v>
      </c>
      <c r="B33" s="62">
        <v>44313</v>
      </c>
      <c r="C33" s="41" t="s">
        <v>287</v>
      </c>
      <c r="D33" s="63">
        <v>14000</v>
      </c>
    </row>
    <row r="36" spans="1:4" x14ac:dyDescent="0.45">
      <c r="A36" s="95"/>
      <c r="B36" s="95"/>
      <c r="C36" s="95"/>
    </row>
    <row r="37" spans="1:4" x14ac:dyDescent="0.45">
      <c r="A37" s="93" t="s">
        <v>291</v>
      </c>
      <c r="B37" s="93"/>
      <c r="C37" s="93"/>
      <c r="D37" s="35">
        <f>SUM(Salary1)</f>
        <v>234000</v>
      </c>
    </row>
    <row r="38" spans="1:4" x14ac:dyDescent="0.45">
      <c r="A38" s="94"/>
      <c r="B38" s="94"/>
      <c r="C38" s="94"/>
      <c r="D38" s="35"/>
    </row>
    <row r="39" spans="1:4" x14ac:dyDescent="0.45">
      <c r="A39" s="93" t="s">
        <v>292</v>
      </c>
      <c r="B39" s="93"/>
      <c r="C39" s="93"/>
      <c r="D39" s="35">
        <f>SUMIF(Salary1,"&gt;20000")</f>
        <v>154000</v>
      </c>
    </row>
    <row r="40" spans="1:4" x14ac:dyDescent="0.45">
      <c r="A40" s="94"/>
      <c r="B40" s="94"/>
      <c r="C40" s="94"/>
      <c r="D40" s="35"/>
    </row>
    <row r="41" spans="1:4" x14ac:dyDescent="0.45">
      <c r="A41" s="93" t="s">
        <v>293</v>
      </c>
      <c r="B41" s="93"/>
      <c r="C41" s="93"/>
      <c r="D41" s="35">
        <f>SUMIF(Division1,"HR",Salary1)</f>
        <v>78000</v>
      </c>
    </row>
    <row r="42" spans="1:4" x14ac:dyDescent="0.45">
      <c r="A42" s="94"/>
      <c r="B42" s="94"/>
      <c r="C42" s="94"/>
      <c r="D42" s="35"/>
    </row>
    <row r="43" spans="1:4" x14ac:dyDescent="0.45">
      <c r="A43" s="93" t="s">
        <v>294</v>
      </c>
      <c r="B43" s="93"/>
      <c r="C43" s="93"/>
      <c r="D43" s="35">
        <f>SUMIFS(Salary1,Division1,"HR",Salary1,"&gt;20000")</f>
        <v>78000</v>
      </c>
    </row>
    <row r="65" spans="1:4" x14ac:dyDescent="0.45">
      <c r="A65" s="67" t="s">
        <v>295</v>
      </c>
      <c r="B65" s="67" t="s">
        <v>296</v>
      </c>
      <c r="D65" s="65" t="s">
        <v>301</v>
      </c>
    </row>
    <row r="66" spans="1:4" x14ac:dyDescent="0.45">
      <c r="A66" s="35" t="s">
        <v>297</v>
      </c>
      <c r="B66" s="64">
        <v>99</v>
      </c>
      <c r="D66" s="65" t="s">
        <v>302</v>
      </c>
    </row>
    <row r="67" spans="1:4" x14ac:dyDescent="0.45">
      <c r="A67" s="35" t="s">
        <v>298</v>
      </c>
      <c r="B67" s="64">
        <v>80</v>
      </c>
      <c r="D67" s="65" t="s">
        <v>303</v>
      </c>
    </row>
    <row r="68" spans="1:4" x14ac:dyDescent="0.45">
      <c r="A68" s="35" t="s">
        <v>298</v>
      </c>
      <c r="B68" s="64">
        <v>76</v>
      </c>
      <c r="D68" s="66" t="s">
        <v>304</v>
      </c>
    </row>
    <row r="69" spans="1:4" x14ac:dyDescent="0.45">
      <c r="A69" s="35" t="s">
        <v>299</v>
      </c>
      <c r="B69" s="64">
        <v>76</v>
      </c>
    </row>
    <row r="70" spans="1:4" x14ac:dyDescent="0.45">
      <c r="A70" s="35" t="s">
        <v>297</v>
      </c>
      <c r="B70" s="29">
        <v>68</v>
      </c>
    </row>
    <row r="71" spans="1:4" x14ac:dyDescent="0.45">
      <c r="A71" s="35" t="s">
        <v>300</v>
      </c>
      <c r="B71" s="29">
        <v>50</v>
      </c>
    </row>
    <row r="72" spans="1:4" x14ac:dyDescent="0.45">
      <c r="A72" s="35" t="s">
        <v>297</v>
      </c>
      <c r="B72" s="64">
        <v>48</v>
      </c>
    </row>
    <row r="73" spans="1:4" x14ac:dyDescent="0.45">
      <c r="A73" s="35" t="s">
        <v>297</v>
      </c>
      <c r="B73" s="29">
        <v>80</v>
      </c>
    </row>
    <row r="74" spans="1:4" x14ac:dyDescent="0.45">
      <c r="A74" s="35" t="s">
        <v>300</v>
      </c>
      <c r="B74" s="29">
        <v>99</v>
      </c>
    </row>
    <row r="75" spans="1:4" x14ac:dyDescent="0.45">
      <c r="A75" s="35" t="s">
        <v>300</v>
      </c>
      <c r="B75" s="64">
        <v>15</v>
      </c>
    </row>
    <row r="77" spans="1:4" x14ac:dyDescent="0.45">
      <c r="A77" s="93" t="s">
        <v>305</v>
      </c>
      <c r="B77" s="93"/>
      <c r="C77" s="93"/>
      <c r="D77" s="35">
        <f>COUNT(Quantity1)</f>
        <v>10</v>
      </c>
    </row>
    <row r="78" spans="1:4" x14ac:dyDescent="0.45">
      <c r="A78" s="94"/>
      <c r="B78" s="94"/>
      <c r="C78" s="94"/>
      <c r="D78" s="35"/>
    </row>
    <row r="79" spans="1:4" x14ac:dyDescent="0.45">
      <c r="A79" s="93" t="s">
        <v>306</v>
      </c>
      <c r="B79" s="93"/>
      <c r="C79" s="93"/>
      <c r="D79" s="35">
        <f>COUNTA(Fruits1)</f>
        <v>10</v>
      </c>
    </row>
    <row r="80" spans="1:4" x14ac:dyDescent="0.45">
      <c r="A80" s="94"/>
      <c r="B80" s="94"/>
      <c r="C80" s="94"/>
      <c r="D80" s="35"/>
    </row>
    <row r="81" spans="1:4" x14ac:dyDescent="0.45">
      <c r="A81" s="93" t="s">
        <v>307</v>
      </c>
      <c r="B81" s="93"/>
      <c r="C81" s="93"/>
      <c r="D81" s="35">
        <f>COUNTIF(Quantity1,"&gt;70")</f>
        <v>6</v>
      </c>
    </row>
    <row r="82" spans="1:4" x14ac:dyDescent="0.45">
      <c r="A82" s="94"/>
      <c r="B82" s="94"/>
      <c r="C82" s="94"/>
      <c r="D82" s="35"/>
    </row>
    <row r="83" spans="1:4" x14ac:dyDescent="0.45">
      <c r="A83" s="93" t="s">
        <v>308</v>
      </c>
      <c r="B83" s="93"/>
      <c r="C83" s="93"/>
      <c r="D83" s="35">
        <f>COUNTIFS(Quantity1,"&gt;70",Quantity1,"&lt;90")</f>
        <v>4</v>
      </c>
    </row>
    <row r="84" spans="1:4" x14ac:dyDescent="0.45">
      <c r="A84" s="94"/>
      <c r="B84" s="94"/>
      <c r="C84" s="94"/>
      <c r="D84" s="35"/>
    </row>
    <row r="85" spans="1:4" x14ac:dyDescent="0.45">
      <c r="A85" s="93" t="s">
        <v>309</v>
      </c>
      <c r="B85" s="93"/>
      <c r="C85" s="93"/>
      <c r="D85" s="35">
        <f>COUNTIFS(Fruits1,"Apples",Quantity1,"&lt;50")</f>
        <v>1</v>
      </c>
    </row>
    <row r="106" spans="1:5" x14ac:dyDescent="0.45">
      <c r="A106" s="67" t="s">
        <v>310</v>
      </c>
      <c r="B106" s="67" t="s">
        <v>311</v>
      </c>
      <c r="C106" s="67" t="s">
        <v>312</v>
      </c>
      <c r="E106" s="65" t="s">
        <v>324</v>
      </c>
    </row>
    <row r="107" spans="1:5" x14ac:dyDescent="0.45">
      <c r="A107" s="35" t="s">
        <v>313</v>
      </c>
      <c r="B107" s="35" t="s">
        <v>300</v>
      </c>
      <c r="C107" s="69">
        <v>15</v>
      </c>
      <c r="E107" s="65" t="s">
        <v>325</v>
      </c>
    </row>
    <row r="108" spans="1:5" x14ac:dyDescent="0.45">
      <c r="A108" s="35" t="s">
        <v>314</v>
      </c>
      <c r="B108" s="35" t="s">
        <v>300</v>
      </c>
      <c r="C108" s="70">
        <v>23</v>
      </c>
      <c r="E108" s="65" t="s">
        <v>326</v>
      </c>
    </row>
    <row r="109" spans="1:5" x14ac:dyDescent="0.45">
      <c r="A109" s="35" t="s">
        <v>340</v>
      </c>
      <c r="B109" s="35" t="s">
        <v>297</v>
      </c>
      <c r="C109" s="70">
        <v>40</v>
      </c>
    </row>
    <row r="110" spans="1:5" x14ac:dyDescent="0.45">
      <c r="A110" s="35" t="s">
        <v>315</v>
      </c>
      <c r="B110" s="35" t="s">
        <v>300</v>
      </c>
      <c r="C110" s="70">
        <v>50</v>
      </c>
    </row>
    <row r="111" spans="1:5" x14ac:dyDescent="0.45">
      <c r="A111" s="35" t="s">
        <v>316</v>
      </c>
      <c r="B111" s="35" t="s">
        <v>297</v>
      </c>
      <c r="C111" s="69">
        <v>50</v>
      </c>
    </row>
    <row r="112" spans="1:5" x14ac:dyDescent="0.45">
      <c r="A112" s="35" t="s">
        <v>317</v>
      </c>
      <c r="B112" s="35" t="s">
        <v>297</v>
      </c>
      <c r="C112" s="70">
        <v>68</v>
      </c>
    </row>
    <row r="113" spans="1:4" x14ac:dyDescent="0.45">
      <c r="A113" s="35" t="s">
        <v>318</v>
      </c>
      <c r="B113" s="35" t="s">
        <v>298</v>
      </c>
      <c r="C113" s="69">
        <v>76</v>
      </c>
    </row>
    <row r="114" spans="1:4" x14ac:dyDescent="0.45">
      <c r="A114" s="35" t="s">
        <v>319</v>
      </c>
      <c r="B114" s="35" t="s">
        <v>299</v>
      </c>
      <c r="C114" s="69">
        <v>76</v>
      </c>
    </row>
    <row r="115" spans="1:4" x14ac:dyDescent="0.45">
      <c r="A115" s="35" t="s">
        <v>320</v>
      </c>
      <c r="B115" s="35" t="s">
        <v>321</v>
      </c>
      <c r="C115" s="69">
        <v>80</v>
      </c>
    </row>
    <row r="116" spans="1:4" x14ac:dyDescent="0.45">
      <c r="A116" s="35" t="s">
        <v>322</v>
      </c>
      <c r="B116" s="35" t="s">
        <v>323</v>
      </c>
      <c r="C116" s="69">
        <v>99</v>
      </c>
    </row>
    <row r="118" spans="1:4" x14ac:dyDescent="0.45">
      <c r="A118" s="93" t="s">
        <v>327</v>
      </c>
      <c r="B118" s="93"/>
      <c r="C118" s="93"/>
      <c r="D118" s="35">
        <f>AVERAGE(Quantity3)</f>
        <v>57.7</v>
      </c>
    </row>
    <row r="119" spans="1:4" x14ac:dyDescent="0.45">
      <c r="A119" s="94"/>
      <c r="B119" s="94"/>
      <c r="C119" s="94"/>
      <c r="D119" s="35"/>
    </row>
    <row r="120" spans="1:4" x14ac:dyDescent="0.45">
      <c r="A120" s="93" t="s">
        <v>328</v>
      </c>
      <c r="B120" s="93"/>
      <c r="C120" s="93"/>
      <c r="D120" s="35">
        <f>AVERAGEIF(Fruits3,"Apples",Quantity3)</f>
        <v>52.666666666666664</v>
      </c>
    </row>
    <row r="121" spans="1:4" x14ac:dyDescent="0.45">
      <c r="A121" s="94"/>
      <c r="B121" s="94"/>
      <c r="C121" s="94"/>
      <c r="D121" s="35"/>
    </row>
    <row r="122" spans="1:4" x14ac:dyDescent="0.45">
      <c r="A122" s="93" t="s">
        <v>329</v>
      </c>
      <c r="B122" s="93"/>
      <c r="C122" s="93"/>
      <c r="D122" s="35"/>
    </row>
    <row r="123" spans="1:4" x14ac:dyDescent="0.45">
      <c r="A123" s="94"/>
      <c r="B123" s="94"/>
      <c r="C123" s="94"/>
      <c r="D123" s="35"/>
    </row>
    <row r="124" spans="1:4" x14ac:dyDescent="0.45">
      <c r="A124" s="93" t="s">
        <v>330</v>
      </c>
      <c r="B124" s="93"/>
      <c r="C124" s="93"/>
      <c r="D124" s="35">
        <f>AVERAGEIF(Fruits3,"Apples",Quantity3) + AVERAGEIF(Fruits3,"Oranges",Quantity3)</f>
        <v>82</v>
      </c>
    </row>
    <row r="125" spans="1:4" x14ac:dyDescent="0.45">
      <c r="A125" s="94"/>
      <c r="B125" s="94"/>
      <c r="C125" s="94"/>
      <c r="D125" s="35"/>
    </row>
    <row r="126" spans="1:4" x14ac:dyDescent="0.45">
      <c r="A126" s="93" t="s">
        <v>331</v>
      </c>
      <c r="B126" s="93"/>
      <c r="C126" s="93"/>
      <c r="D126" s="35">
        <f>AVERAGEIFS(Quantity3,Fruits3,"Apples",City3,"Goa")</f>
        <v>40</v>
      </c>
    </row>
    <row r="145" spans="1:5" x14ac:dyDescent="0.45">
      <c r="A145" s="67" t="s">
        <v>332</v>
      </c>
      <c r="B145" s="67" t="s">
        <v>333</v>
      </c>
      <c r="C145" s="67" t="s">
        <v>334</v>
      </c>
      <c r="E145" s="65" t="s">
        <v>357</v>
      </c>
    </row>
    <row r="146" spans="1:5" x14ac:dyDescent="0.45">
      <c r="A146" s="35" t="s">
        <v>322</v>
      </c>
      <c r="B146" s="35" t="s">
        <v>323</v>
      </c>
      <c r="C146" s="64">
        <v>9</v>
      </c>
      <c r="E146" s="65" t="s">
        <v>358</v>
      </c>
    </row>
    <row r="147" spans="1:5" x14ac:dyDescent="0.45">
      <c r="A147" s="35" t="s">
        <v>335</v>
      </c>
      <c r="B147" s="35" t="s">
        <v>300</v>
      </c>
      <c r="C147" s="64">
        <v>15</v>
      </c>
      <c r="E147" s="65" t="s">
        <v>359</v>
      </c>
    </row>
    <row r="148" spans="1:5" x14ac:dyDescent="0.45">
      <c r="A148" s="35" t="s">
        <v>336</v>
      </c>
      <c r="B148" s="35" t="s">
        <v>300</v>
      </c>
      <c r="C148" s="29">
        <v>23</v>
      </c>
    </row>
    <row r="149" spans="1:5" x14ac:dyDescent="0.45">
      <c r="A149" s="35" t="s">
        <v>337</v>
      </c>
      <c r="B149" s="35" t="s">
        <v>300</v>
      </c>
      <c r="C149" s="29">
        <v>4</v>
      </c>
    </row>
    <row r="150" spans="1:5" x14ac:dyDescent="0.45">
      <c r="A150" s="35" t="s">
        <v>338</v>
      </c>
      <c r="B150" s="35" t="s">
        <v>297</v>
      </c>
      <c r="C150" s="64">
        <v>50</v>
      </c>
    </row>
    <row r="151" spans="1:5" x14ac:dyDescent="0.45">
      <c r="A151" s="35" t="s">
        <v>339</v>
      </c>
      <c r="B151" s="35" t="s">
        <v>297</v>
      </c>
      <c r="C151" s="29">
        <v>40</v>
      </c>
    </row>
    <row r="152" spans="1:5" x14ac:dyDescent="0.45">
      <c r="A152" s="35" t="s">
        <v>340</v>
      </c>
      <c r="B152" s="35" t="s">
        <v>297</v>
      </c>
      <c r="C152" s="29">
        <v>68</v>
      </c>
    </row>
    <row r="153" spans="1:5" x14ac:dyDescent="0.45">
      <c r="A153" s="35" t="s">
        <v>339</v>
      </c>
      <c r="B153" s="35" t="s">
        <v>297</v>
      </c>
      <c r="C153" s="64">
        <v>12</v>
      </c>
    </row>
    <row r="154" spans="1:5" x14ac:dyDescent="0.45">
      <c r="A154" s="35" t="s">
        <v>340</v>
      </c>
      <c r="B154" s="35" t="s">
        <v>297</v>
      </c>
      <c r="C154" s="64">
        <v>16</v>
      </c>
    </row>
    <row r="155" spans="1:5" x14ac:dyDescent="0.45">
      <c r="A155" s="35" t="s">
        <v>340</v>
      </c>
      <c r="B155" s="35" t="s">
        <v>297</v>
      </c>
      <c r="C155" s="64">
        <v>22</v>
      </c>
    </row>
    <row r="157" spans="1:5" x14ac:dyDescent="0.45">
      <c r="A157" s="93" t="s">
        <v>341</v>
      </c>
      <c r="B157" s="93"/>
      <c r="C157" s="93"/>
      <c r="D157" s="35">
        <f>MIN(Quantity5)</f>
        <v>4</v>
      </c>
    </row>
    <row r="158" spans="1:5" x14ac:dyDescent="0.45">
      <c r="A158" s="94"/>
      <c r="B158" s="94"/>
      <c r="C158" s="94"/>
      <c r="D158" s="35"/>
    </row>
    <row r="159" spans="1:5" x14ac:dyDescent="0.45">
      <c r="A159" s="93" t="s">
        <v>342</v>
      </c>
      <c r="B159" s="93"/>
      <c r="C159" s="93"/>
      <c r="D159" s="35">
        <f>AVERAGEIF(Fruits5,"Apples",Quantity5)</f>
        <v>34.666666666666664</v>
      </c>
    </row>
    <row r="160" spans="1:5" x14ac:dyDescent="0.45">
      <c r="A160" s="94"/>
      <c r="B160" s="94"/>
      <c r="C160" s="94"/>
      <c r="D160" s="35"/>
    </row>
    <row r="161" spans="1:5" x14ac:dyDescent="0.45">
      <c r="A161" s="93" t="s">
        <v>343</v>
      </c>
      <c r="B161" s="93"/>
      <c r="C161" s="93"/>
      <c r="D161" s="35">
        <f>_xlfn.MINIFS(Quantity5,Fruits5,"Apples",City5,"Goa")</f>
        <v>16</v>
      </c>
    </row>
    <row r="176" spans="1:5" x14ac:dyDescent="0.45">
      <c r="A176" s="67" t="s">
        <v>344</v>
      </c>
      <c r="B176" s="67" t="s">
        <v>345</v>
      </c>
      <c r="C176" s="67" t="s">
        <v>346</v>
      </c>
      <c r="E176" s="65" t="s">
        <v>360</v>
      </c>
    </row>
    <row r="177" spans="1:5" x14ac:dyDescent="0.45">
      <c r="A177" s="35" t="s">
        <v>322</v>
      </c>
      <c r="B177" s="35" t="s">
        <v>323</v>
      </c>
      <c r="C177" s="64">
        <v>99</v>
      </c>
      <c r="E177" s="65" t="s">
        <v>361</v>
      </c>
    </row>
    <row r="178" spans="1:5" x14ac:dyDescent="0.45">
      <c r="A178" s="35" t="s">
        <v>335</v>
      </c>
      <c r="B178" s="35" t="s">
        <v>300</v>
      </c>
      <c r="C178" s="64">
        <v>15</v>
      </c>
      <c r="E178" s="65" t="s">
        <v>362</v>
      </c>
    </row>
    <row r="179" spans="1:5" x14ac:dyDescent="0.45">
      <c r="A179" s="35" t="s">
        <v>336</v>
      </c>
      <c r="B179" s="35" t="s">
        <v>300</v>
      </c>
      <c r="C179" s="29">
        <v>23</v>
      </c>
    </row>
    <row r="180" spans="1:5" x14ac:dyDescent="0.45">
      <c r="A180" s="35" t="s">
        <v>337</v>
      </c>
      <c r="B180" s="35" t="s">
        <v>300</v>
      </c>
      <c r="C180" s="29">
        <v>50</v>
      </c>
    </row>
    <row r="181" spans="1:5" x14ac:dyDescent="0.45">
      <c r="A181" s="35" t="s">
        <v>338</v>
      </c>
      <c r="B181" s="35" t="s">
        <v>297</v>
      </c>
      <c r="C181" s="64">
        <v>50</v>
      </c>
    </row>
    <row r="182" spans="1:5" x14ac:dyDescent="0.45">
      <c r="A182" s="35" t="s">
        <v>339</v>
      </c>
      <c r="B182" s="35" t="s">
        <v>297</v>
      </c>
      <c r="C182" s="29">
        <v>40</v>
      </c>
    </row>
    <row r="183" spans="1:5" x14ac:dyDescent="0.45">
      <c r="A183" s="35" t="s">
        <v>340</v>
      </c>
      <c r="B183" s="35" t="s">
        <v>297</v>
      </c>
      <c r="C183" s="29">
        <v>90</v>
      </c>
    </row>
    <row r="184" spans="1:5" x14ac:dyDescent="0.45">
      <c r="A184" s="35" t="s">
        <v>339</v>
      </c>
      <c r="B184" s="35" t="s">
        <v>297</v>
      </c>
      <c r="C184" s="64">
        <v>76</v>
      </c>
    </row>
    <row r="185" spans="1:5" x14ac:dyDescent="0.45">
      <c r="A185" s="35" t="s">
        <v>340</v>
      </c>
      <c r="B185" s="35" t="s">
        <v>297</v>
      </c>
      <c r="C185" s="64">
        <v>76</v>
      </c>
    </row>
    <row r="186" spans="1:5" x14ac:dyDescent="0.45">
      <c r="A186" s="35" t="s">
        <v>340</v>
      </c>
      <c r="B186" s="35" t="s">
        <v>297</v>
      </c>
      <c r="C186" s="64">
        <v>101</v>
      </c>
    </row>
    <row r="188" spans="1:5" x14ac:dyDescent="0.45">
      <c r="A188" s="93" t="s">
        <v>347</v>
      </c>
      <c r="B188" s="93"/>
      <c r="C188" s="93"/>
      <c r="D188" s="35"/>
    </row>
    <row r="189" spans="1:5" x14ac:dyDescent="0.45">
      <c r="A189" s="94"/>
      <c r="B189" s="94"/>
      <c r="C189" s="94"/>
      <c r="D189" s="35"/>
    </row>
    <row r="190" spans="1:5" x14ac:dyDescent="0.45">
      <c r="A190" s="93" t="s">
        <v>348</v>
      </c>
      <c r="B190" s="93"/>
      <c r="C190" s="93"/>
      <c r="D190" s="35"/>
    </row>
    <row r="191" spans="1:5" x14ac:dyDescent="0.45">
      <c r="A191" s="94"/>
      <c r="B191" s="94"/>
      <c r="C191" s="94"/>
      <c r="D191" s="35"/>
    </row>
    <row r="192" spans="1:5" x14ac:dyDescent="0.45">
      <c r="A192" s="93" t="s">
        <v>349</v>
      </c>
      <c r="B192" s="93"/>
      <c r="C192" s="93"/>
      <c r="D192" s="35"/>
    </row>
    <row r="213" spans="1:5" x14ac:dyDescent="0.45">
      <c r="A213" s="67" t="s">
        <v>350</v>
      </c>
      <c r="B213" s="67" t="s">
        <v>351</v>
      </c>
      <c r="C213" s="67" t="s">
        <v>352</v>
      </c>
      <c r="E213" s="65" t="s">
        <v>363</v>
      </c>
    </row>
    <row r="214" spans="1:5" x14ac:dyDescent="0.45">
      <c r="A214" s="35" t="s">
        <v>335</v>
      </c>
      <c r="B214" s="35" t="s">
        <v>300</v>
      </c>
      <c r="C214" s="64">
        <v>15</v>
      </c>
      <c r="E214" s="65" t="s">
        <v>364</v>
      </c>
    </row>
    <row r="215" spans="1:5" x14ac:dyDescent="0.45">
      <c r="A215" s="35" t="s">
        <v>336</v>
      </c>
      <c r="B215" s="35" t="s">
        <v>300</v>
      </c>
      <c r="C215" s="29">
        <v>20</v>
      </c>
    </row>
    <row r="216" spans="1:5" x14ac:dyDescent="0.45">
      <c r="A216" s="35" t="s">
        <v>337</v>
      </c>
      <c r="B216" s="35" t="s">
        <v>300</v>
      </c>
      <c r="C216" s="29">
        <v>50</v>
      </c>
    </row>
    <row r="217" spans="1:5" x14ac:dyDescent="0.45">
      <c r="A217" s="35" t="s">
        <v>338</v>
      </c>
      <c r="B217" s="35" t="s">
        <v>297</v>
      </c>
      <c r="C217" s="64">
        <v>50</v>
      </c>
    </row>
    <row r="218" spans="1:5" x14ac:dyDescent="0.45">
      <c r="A218" s="35" t="s">
        <v>340</v>
      </c>
      <c r="B218" s="35" t="s">
        <v>297</v>
      </c>
      <c r="C218" s="29">
        <v>60</v>
      </c>
    </row>
    <row r="219" spans="1:5" x14ac:dyDescent="0.45">
      <c r="A219" s="35" t="s">
        <v>339</v>
      </c>
      <c r="B219" s="35" t="s">
        <v>297</v>
      </c>
      <c r="C219" s="29">
        <v>65</v>
      </c>
    </row>
    <row r="220" spans="1:5" x14ac:dyDescent="0.45">
      <c r="A220" s="35" t="s">
        <v>339</v>
      </c>
      <c r="B220" s="35" t="s">
        <v>297</v>
      </c>
      <c r="C220" s="64">
        <v>70</v>
      </c>
    </row>
    <row r="221" spans="1:5" x14ac:dyDescent="0.45">
      <c r="A221" s="35" t="s">
        <v>340</v>
      </c>
      <c r="B221" s="35" t="s">
        <v>297</v>
      </c>
      <c r="C221" s="64">
        <v>75</v>
      </c>
    </row>
    <row r="222" spans="1:5" x14ac:dyDescent="0.45">
      <c r="A222" s="35" t="s">
        <v>340</v>
      </c>
      <c r="B222" s="35" t="s">
        <v>297</v>
      </c>
      <c r="C222" s="64">
        <v>80</v>
      </c>
    </row>
    <row r="223" spans="1:5" x14ac:dyDescent="0.45">
      <c r="A223" s="35" t="s">
        <v>322</v>
      </c>
      <c r="B223" s="35" t="s">
        <v>323</v>
      </c>
      <c r="C223" s="64">
        <v>90</v>
      </c>
    </row>
    <row r="225" spans="1:4" x14ac:dyDescent="0.45">
      <c r="A225" s="93" t="s">
        <v>353</v>
      </c>
      <c r="B225" s="93"/>
      <c r="C225" s="93"/>
      <c r="D225" s="35">
        <f>SMALL(Quantity7,1)</f>
        <v>15</v>
      </c>
    </row>
    <row r="226" spans="1:4" x14ac:dyDescent="0.45">
      <c r="A226" s="94"/>
      <c r="B226" s="94"/>
      <c r="C226" s="94"/>
      <c r="D226" s="35"/>
    </row>
    <row r="227" spans="1:4" x14ac:dyDescent="0.45">
      <c r="A227" s="93" t="s">
        <v>354</v>
      </c>
      <c r="B227" s="93"/>
      <c r="C227" s="93"/>
      <c r="D227" s="35">
        <f>SMALL(Quantity7,3)</f>
        <v>50</v>
      </c>
    </row>
    <row r="228" spans="1:4" x14ac:dyDescent="0.45">
      <c r="A228" s="94"/>
      <c r="B228" s="94"/>
      <c r="C228" s="94"/>
      <c r="D228" s="35"/>
    </row>
    <row r="229" spans="1:4" x14ac:dyDescent="0.45">
      <c r="A229" s="93" t="s">
        <v>355</v>
      </c>
      <c r="B229" s="93"/>
      <c r="C229" s="93"/>
      <c r="D229" s="35">
        <f>SMALL(Quantity7,5)</f>
        <v>60</v>
      </c>
    </row>
    <row r="230" spans="1:4" x14ac:dyDescent="0.45">
      <c r="A230" s="94"/>
      <c r="B230" s="94"/>
      <c r="C230" s="94"/>
      <c r="D230" s="35"/>
    </row>
    <row r="231" spans="1:4" x14ac:dyDescent="0.45">
      <c r="A231" s="93" t="s">
        <v>356</v>
      </c>
      <c r="B231" s="93"/>
      <c r="C231" s="93"/>
      <c r="D231" s="35">
        <f>LARGE(Quantity7,5)</f>
        <v>65</v>
      </c>
    </row>
  </sheetData>
  <mergeCells count="43">
    <mergeCell ref="A80:C80"/>
    <mergeCell ref="A36:C36"/>
    <mergeCell ref="A37:C37"/>
    <mergeCell ref="A38:C38"/>
    <mergeCell ref="A39:C39"/>
    <mergeCell ref="A40:C40"/>
    <mergeCell ref="A41:C41"/>
    <mergeCell ref="A42:C42"/>
    <mergeCell ref="A43:C43"/>
    <mergeCell ref="A77:C77"/>
    <mergeCell ref="A78:C78"/>
    <mergeCell ref="A79:C79"/>
    <mergeCell ref="A124:C124"/>
    <mergeCell ref="A81:C81"/>
    <mergeCell ref="A82:C82"/>
    <mergeCell ref="A83:C83"/>
    <mergeCell ref="A84:C84"/>
    <mergeCell ref="A85:C85"/>
    <mergeCell ref="A118:C118"/>
    <mergeCell ref="A119:C119"/>
    <mergeCell ref="A120:C120"/>
    <mergeCell ref="A121:C121"/>
    <mergeCell ref="A122:C122"/>
    <mergeCell ref="A123:C123"/>
    <mergeCell ref="A226:C226"/>
    <mergeCell ref="A161:C161"/>
    <mergeCell ref="A188:C188"/>
    <mergeCell ref="A125:C125"/>
    <mergeCell ref="A126:C126"/>
    <mergeCell ref="A157:C157"/>
    <mergeCell ref="A158:C158"/>
    <mergeCell ref="A159:C159"/>
    <mergeCell ref="A160:C160"/>
    <mergeCell ref="A189:C189"/>
    <mergeCell ref="A190:C190"/>
    <mergeCell ref="A191:C191"/>
    <mergeCell ref="A192:C192"/>
    <mergeCell ref="A225:C225"/>
    <mergeCell ref="A227:C227"/>
    <mergeCell ref="A228:C228"/>
    <mergeCell ref="A229:C229"/>
    <mergeCell ref="A230:C230"/>
    <mergeCell ref="A231:C23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877A-C8C8-4105-B346-2B43F9172DD3}">
  <dimension ref="A1:O133"/>
  <sheetViews>
    <sheetView showGridLines="0" tabSelected="1" topLeftCell="H1" zoomScale="111" zoomScaleNormal="130" workbookViewId="0">
      <selection activeCell="N8" sqref="N8"/>
    </sheetView>
  </sheetViews>
  <sheetFormatPr defaultColWidth="22.21875" defaultRowHeight="14.4" x14ac:dyDescent="0.3"/>
  <cols>
    <col min="1" max="1" width="26.21875" bestFit="1" customWidth="1"/>
    <col min="2" max="2" width="14.77734375" bestFit="1" customWidth="1"/>
    <col min="3" max="3" width="16.77734375" bestFit="1" customWidth="1"/>
    <col min="4" max="4" width="12.33203125" bestFit="1" customWidth="1"/>
    <col min="9" max="17" width="9.88671875" customWidth="1"/>
  </cols>
  <sheetData>
    <row r="1" spans="1:15" ht="21" x14ac:dyDescent="0.4">
      <c r="A1" s="71" t="s">
        <v>382</v>
      </c>
      <c r="I1" s="96" t="s">
        <v>402</v>
      </c>
      <c r="J1" s="96"/>
      <c r="K1" s="96"/>
      <c r="L1" s="96"/>
      <c r="M1" s="96"/>
      <c r="N1" s="96"/>
      <c r="O1" s="96"/>
    </row>
    <row r="2" spans="1:15" ht="19.2" x14ac:dyDescent="0.3">
      <c r="A2" s="71" t="s">
        <v>383</v>
      </c>
    </row>
    <row r="3" spans="1:15" ht="19.2" x14ac:dyDescent="0.3">
      <c r="A3" s="71" t="s">
        <v>384</v>
      </c>
    </row>
    <row r="4" spans="1:15" ht="27" x14ac:dyDescent="0.45">
      <c r="A4" s="71" t="s">
        <v>385</v>
      </c>
      <c r="I4" s="28"/>
      <c r="J4" s="28"/>
      <c r="K4" s="97" t="s">
        <v>399</v>
      </c>
      <c r="L4" s="97"/>
      <c r="M4" s="97"/>
      <c r="N4" s="97"/>
      <c r="O4" s="97"/>
    </row>
    <row r="5" spans="1:15" ht="19.2" x14ac:dyDescent="0.45">
      <c r="I5" s="28"/>
      <c r="J5" s="28"/>
      <c r="K5" s="80">
        <v>1</v>
      </c>
      <c r="L5" s="80">
        <v>2</v>
      </c>
      <c r="M5" s="80">
        <v>3</v>
      </c>
      <c r="N5" s="80">
        <v>4</v>
      </c>
      <c r="O5" s="80">
        <v>5</v>
      </c>
    </row>
    <row r="6" spans="1:15" ht="34.200000000000003" customHeight="1" x14ac:dyDescent="0.3">
      <c r="I6" s="98" t="s">
        <v>400</v>
      </c>
      <c r="J6" s="80">
        <v>10</v>
      </c>
      <c r="K6" s="36">
        <f>$J6*K$5</f>
        <v>10</v>
      </c>
      <c r="L6" s="36">
        <f t="shared" ref="L6:O10" si="0">$J6*L$5</f>
        <v>20</v>
      </c>
      <c r="M6" s="36">
        <f t="shared" si="0"/>
        <v>30</v>
      </c>
      <c r="N6" s="36">
        <f t="shared" si="0"/>
        <v>40</v>
      </c>
      <c r="O6" s="36">
        <f t="shared" si="0"/>
        <v>50</v>
      </c>
    </row>
    <row r="7" spans="1:15" ht="34.200000000000003" customHeight="1" x14ac:dyDescent="0.3">
      <c r="I7" s="98"/>
      <c r="J7" s="80">
        <v>20</v>
      </c>
      <c r="K7" s="36">
        <f t="shared" ref="K7:K10" si="1">$J7*K$5</f>
        <v>20</v>
      </c>
      <c r="L7" s="36">
        <f t="shared" si="0"/>
        <v>40</v>
      </c>
      <c r="M7" s="36">
        <f t="shared" si="0"/>
        <v>60</v>
      </c>
      <c r="N7" s="36">
        <f t="shared" si="0"/>
        <v>80</v>
      </c>
      <c r="O7" s="36">
        <f t="shared" si="0"/>
        <v>100</v>
      </c>
    </row>
    <row r="8" spans="1:15" ht="34.200000000000003" customHeight="1" x14ac:dyDescent="0.3">
      <c r="I8" s="98"/>
      <c r="J8" s="80">
        <v>30</v>
      </c>
      <c r="K8" s="36">
        <f t="shared" si="1"/>
        <v>30</v>
      </c>
      <c r="L8" s="36">
        <f t="shared" si="0"/>
        <v>60</v>
      </c>
      <c r="M8" s="36">
        <f t="shared" si="0"/>
        <v>90</v>
      </c>
      <c r="N8" s="36">
        <f t="shared" si="0"/>
        <v>120</v>
      </c>
      <c r="O8" s="36">
        <f t="shared" si="0"/>
        <v>150</v>
      </c>
    </row>
    <row r="9" spans="1:15" ht="34.200000000000003" customHeight="1" x14ac:dyDescent="0.3">
      <c r="I9" s="98"/>
      <c r="J9" s="80">
        <v>40</v>
      </c>
      <c r="K9" s="36">
        <f t="shared" si="1"/>
        <v>40</v>
      </c>
      <c r="L9" s="36">
        <f t="shared" si="0"/>
        <v>80</v>
      </c>
      <c r="M9" s="36">
        <f t="shared" si="0"/>
        <v>120</v>
      </c>
      <c r="N9" s="36">
        <f t="shared" si="0"/>
        <v>160</v>
      </c>
      <c r="O9" s="36">
        <f t="shared" si="0"/>
        <v>200</v>
      </c>
    </row>
    <row r="10" spans="1:15" ht="34.200000000000003" customHeight="1" x14ac:dyDescent="0.3">
      <c r="I10" s="98"/>
      <c r="J10" s="80">
        <v>50</v>
      </c>
      <c r="K10" s="36">
        <f t="shared" si="1"/>
        <v>50</v>
      </c>
      <c r="L10" s="36">
        <f t="shared" si="0"/>
        <v>100</v>
      </c>
      <c r="M10" s="36">
        <f t="shared" si="0"/>
        <v>150</v>
      </c>
      <c r="N10" s="36">
        <f t="shared" si="0"/>
        <v>200</v>
      </c>
      <c r="O10" s="36">
        <f t="shared" si="0"/>
        <v>250</v>
      </c>
    </row>
    <row r="21" spans="1:4" ht="21" x14ac:dyDescent="0.4">
      <c r="A21" s="96" t="s">
        <v>386</v>
      </c>
      <c r="B21" s="96"/>
      <c r="C21" s="96"/>
      <c r="D21" s="96"/>
    </row>
    <row r="23" spans="1:4" ht="19.2" x14ac:dyDescent="0.45">
      <c r="A23" s="72" t="s">
        <v>67</v>
      </c>
      <c r="B23" s="72" t="s">
        <v>370</v>
      </c>
      <c r="C23" s="72" t="s">
        <v>371</v>
      </c>
      <c r="D23" s="72" t="s">
        <v>372</v>
      </c>
    </row>
    <row r="24" spans="1:4" ht="19.2" x14ac:dyDescent="0.45">
      <c r="A24" s="35" t="s">
        <v>373</v>
      </c>
      <c r="B24" s="35">
        <v>730</v>
      </c>
      <c r="C24" s="35">
        <v>413</v>
      </c>
      <c r="D24" s="57">
        <f>B24-C24</f>
        <v>317</v>
      </c>
    </row>
    <row r="25" spans="1:4" ht="19.2" x14ac:dyDescent="0.45">
      <c r="A25" s="35" t="s">
        <v>374</v>
      </c>
      <c r="B25" s="35">
        <v>102</v>
      </c>
      <c r="C25" s="35">
        <v>169</v>
      </c>
      <c r="D25" s="57">
        <f t="shared" ref="D25:D31" si="2">B25-C25</f>
        <v>-67</v>
      </c>
    </row>
    <row r="26" spans="1:4" ht="19.2" x14ac:dyDescent="0.45">
      <c r="A26" s="35" t="s">
        <v>375</v>
      </c>
      <c r="B26" s="35">
        <v>158</v>
      </c>
      <c r="C26" s="35">
        <v>258</v>
      </c>
      <c r="D26" s="57">
        <f t="shared" si="2"/>
        <v>-100</v>
      </c>
    </row>
    <row r="27" spans="1:4" ht="19.2" x14ac:dyDescent="0.45">
      <c r="A27" s="35" t="s">
        <v>376</v>
      </c>
      <c r="B27" s="35">
        <v>505</v>
      </c>
      <c r="C27" s="35">
        <v>429</v>
      </c>
      <c r="D27" s="57">
        <f t="shared" si="2"/>
        <v>76</v>
      </c>
    </row>
    <row r="28" spans="1:4" ht="19.2" x14ac:dyDescent="0.45">
      <c r="A28" s="35" t="s">
        <v>125</v>
      </c>
      <c r="B28" s="35">
        <v>925</v>
      </c>
      <c r="C28" s="35">
        <v>270</v>
      </c>
      <c r="D28" s="57">
        <f>B28-C28</f>
        <v>655</v>
      </c>
    </row>
    <row r="29" spans="1:4" ht="19.2" x14ac:dyDescent="0.45">
      <c r="A29" s="35" t="s">
        <v>377</v>
      </c>
      <c r="B29" s="35">
        <v>242</v>
      </c>
      <c r="C29" s="35">
        <v>129</v>
      </c>
      <c r="D29" s="57">
        <f>B29-C29</f>
        <v>113</v>
      </c>
    </row>
    <row r="30" spans="1:4" ht="19.2" x14ac:dyDescent="0.45">
      <c r="A30" s="35" t="s">
        <v>378</v>
      </c>
      <c r="B30" s="35">
        <v>636</v>
      </c>
      <c r="C30" s="35">
        <v>79</v>
      </c>
      <c r="D30" s="57">
        <f>B30-C30</f>
        <v>557</v>
      </c>
    </row>
    <row r="31" spans="1:4" ht="19.2" x14ac:dyDescent="0.45">
      <c r="A31" s="35" t="s">
        <v>379</v>
      </c>
      <c r="B31" s="35">
        <v>213</v>
      </c>
      <c r="C31" s="35">
        <v>123</v>
      </c>
      <c r="D31" s="57">
        <f t="shared" si="2"/>
        <v>90</v>
      </c>
    </row>
    <row r="50" spans="1:4" ht="21" x14ac:dyDescent="0.4">
      <c r="A50" s="96" t="s">
        <v>387</v>
      </c>
      <c r="B50" s="96"/>
      <c r="C50" s="96"/>
      <c r="D50" s="96"/>
    </row>
    <row r="53" spans="1:4" ht="19.2" x14ac:dyDescent="0.3">
      <c r="A53" s="73" t="s">
        <v>380</v>
      </c>
      <c r="B53" s="73" t="s">
        <v>202</v>
      </c>
      <c r="C53" s="73" t="s">
        <v>381</v>
      </c>
    </row>
    <row r="54" spans="1:4" ht="19.2" x14ac:dyDescent="0.45">
      <c r="A54" s="29">
        <v>10</v>
      </c>
      <c r="B54" s="29">
        <v>2</v>
      </c>
      <c r="C54" s="74">
        <f>A54*B54</f>
        <v>20</v>
      </c>
    </row>
    <row r="55" spans="1:4" ht="19.2" x14ac:dyDescent="0.45">
      <c r="A55" s="29">
        <v>20</v>
      </c>
      <c r="B55" s="29">
        <v>9</v>
      </c>
      <c r="C55" s="74">
        <f t="shared" ref="C55:C61" si="3">A55*B55</f>
        <v>180</v>
      </c>
    </row>
    <row r="56" spans="1:4" ht="19.2" x14ac:dyDescent="0.45">
      <c r="A56" s="29">
        <v>30</v>
      </c>
      <c r="B56" s="29">
        <v>4</v>
      </c>
      <c r="C56" s="74">
        <f>A56*B56</f>
        <v>120</v>
      </c>
    </row>
    <row r="57" spans="1:4" ht="19.2" x14ac:dyDescent="0.45">
      <c r="A57" s="29">
        <v>40</v>
      </c>
      <c r="B57" s="29">
        <v>10</v>
      </c>
      <c r="C57" s="74">
        <f t="shared" si="3"/>
        <v>400</v>
      </c>
    </row>
    <row r="58" spans="1:4" ht="19.2" x14ac:dyDescent="0.45">
      <c r="A58" s="29">
        <v>50</v>
      </c>
      <c r="B58" s="29">
        <v>1</v>
      </c>
      <c r="C58" s="74">
        <f t="shared" si="3"/>
        <v>50</v>
      </c>
    </row>
    <row r="59" spans="1:4" ht="19.2" x14ac:dyDescent="0.45">
      <c r="A59" s="29">
        <v>60</v>
      </c>
      <c r="B59" s="29">
        <v>6</v>
      </c>
      <c r="C59" s="74">
        <f t="shared" si="3"/>
        <v>360</v>
      </c>
    </row>
    <row r="60" spans="1:4" ht="19.2" x14ac:dyDescent="0.45">
      <c r="A60" s="29">
        <v>70</v>
      </c>
      <c r="B60" s="29">
        <v>4</v>
      </c>
      <c r="C60" s="74">
        <f t="shared" si="3"/>
        <v>280</v>
      </c>
    </row>
    <row r="61" spans="1:4" ht="19.2" x14ac:dyDescent="0.45">
      <c r="A61" s="29">
        <v>80</v>
      </c>
      <c r="B61" s="29">
        <v>2</v>
      </c>
      <c r="C61" s="74">
        <f t="shared" si="3"/>
        <v>160</v>
      </c>
    </row>
    <row r="84" spans="1:4" ht="21" x14ac:dyDescent="0.4">
      <c r="A84" s="96" t="s">
        <v>521</v>
      </c>
      <c r="B84" s="96"/>
      <c r="C84" s="96"/>
      <c r="D84" s="96"/>
    </row>
    <row r="86" spans="1:4" ht="19.2" x14ac:dyDescent="0.3">
      <c r="A86" s="75" t="s">
        <v>69</v>
      </c>
      <c r="B86" s="75" t="s">
        <v>388</v>
      </c>
      <c r="C86" s="75" t="s">
        <v>389</v>
      </c>
      <c r="D86" s="75" t="s">
        <v>390</v>
      </c>
    </row>
    <row r="87" spans="1:4" ht="19.2" x14ac:dyDescent="0.45">
      <c r="A87" s="35" t="s">
        <v>395</v>
      </c>
      <c r="B87" s="36">
        <v>42</v>
      </c>
      <c r="C87" s="36">
        <v>120</v>
      </c>
      <c r="D87" s="76">
        <f>B87/$C$87</f>
        <v>0.35</v>
      </c>
    </row>
    <row r="88" spans="1:4" ht="19.2" x14ac:dyDescent="0.45">
      <c r="A88" s="35" t="s">
        <v>396</v>
      </c>
      <c r="B88" s="36">
        <v>76</v>
      </c>
      <c r="C88" s="28"/>
      <c r="D88" s="76">
        <f t="shared" ref="D88:D96" si="4">B88/$C$87</f>
        <v>0.6333333333333333</v>
      </c>
    </row>
    <row r="89" spans="1:4" ht="19.2" x14ac:dyDescent="0.45">
      <c r="A89" s="35" t="s">
        <v>391</v>
      </c>
      <c r="B89" s="36">
        <v>100</v>
      </c>
      <c r="C89" s="28"/>
      <c r="D89" s="76">
        <f t="shared" si="4"/>
        <v>0.83333333333333337</v>
      </c>
    </row>
    <row r="90" spans="1:4" ht="19.2" x14ac:dyDescent="0.45">
      <c r="A90" s="35" t="s">
        <v>229</v>
      </c>
      <c r="B90" s="36">
        <v>65</v>
      </c>
      <c r="C90" s="28"/>
      <c r="D90" s="76">
        <f t="shared" si="4"/>
        <v>0.54166666666666663</v>
      </c>
    </row>
    <row r="91" spans="1:4" ht="19.2" x14ac:dyDescent="0.45">
      <c r="A91" s="35" t="s">
        <v>392</v>
      </c>
      <c r="B91" s="36">
        <v>94</v>
      </c>
      <c r="C91" s="28"/>
      <c r="D91" s="76">
        <f t="shared" si="4"/>
        <v>0.78333333333333333</v>
      </c>
    </row>
    <row r="92" spans="1:4" ht="19.2" x14ac:dyDescent="0.45">
      <c r="A92" s="35" t="s">
        <v>234</v>
      </c>
      <c r="B92" s="36">
        <v>87</v>
      </c>
      <c r="C92" s="28"/>
      <c r="D92" s="76">
        <f t="shared" si="4"/>
        <v>0.72499999999999998</v>
      </c>
    </row>
    <row r="93" spans="1:4" ht="19.2" x14ac:dyDescent="0.45">
      <c r="A93" s="35" t="s">
        <v>393</v>
      </c>
      <c r="B93" s="36">
        <v>58</v>
      </c>
      <c r="C93" s="28"/>
      <c r="D93" s="76">
        <f t="shared" si="4"/>
        <v>0.48333333333333334</v>
      </c>
    </row>
    <row r="94" spans="1:4" ht="19.2" x14ac:dyDescent="0.45">
      <c r="A94" s="35" t="s">
        <v>225</v>
      </c>
      <c r="B94" s="36">
        <v>66</v>
      </c>
      <c r="C94" s="28"/>
      <c r="D94" s="76">
        <f t="shared" si="4"/>
        <v>0.55000000000000004</v>
      </c>
    </row>
    <row r="95" spans="1:4" ht="19.2" x14ac:dyDescent="0.45">
      <c r="A95" s="35" t="s">
        <v>394</v>
      </c>
      <c r="B95" s="36">
        <v>63</v>
      </c>
      <c r="C95" s="28"/>
      <c r="D95" s="76">
        <f t="shared" si="4"/>
        <v>0.52500000000000002</v>
      </c>
    </row>
    <row r="96" spans="1:4" ht="19.2" x14ac:dyDescent="0.45">
      <c r="A96" s="35" t="s">
        <v>219</v>
      </c>
      <c r="B96" s="36">
        <v>100</v>
      </c>
      <c r="C96" s="28"/>
      <c r="D96" s="76">
        <f t="shared" si="4"/>
        <v>0.83333333333333337</v>
      </c>
    </row>
    <row r="121" spans="1:4" ht="21" x14ac:dyDescent="0.4">
      <c r="A121" s="96" t="s">
        <v>401</v>
      </c>
      <c r="B121" s="96"/>
      <c r="C121" s="96"/>
      <c r="D121" s="96"/>
    </row>
    <row r="123" spans="1:4" ht="19.2" x14ac:dyDescent="0.45">
      <c r="A123" s="75" t="s">
        <v>397</v>
      </c>
      <c r="B123" s="77">
        <v>7.4999999999999997E-2</v>
      </c>
      <c r="C123" s="78"/>
      <c r="D123" s="28"/>
    </row>
    <row r="124" spans="1:4" ht="19.2" x14ac:dyDescent="0.45">
      <c r="A124" s="78"/>
      <c r="B124" s="78"/>
      <c r="C124" s="78"/>
      <c r="D124" s="28"/>
    </row>
    <row r="125" spans="1:4" ht="19.2" x14ac:dyDescent="0.3">
      <c r="A125" s="73" t="s">
        <v>380</v>
      </c>
      <c r="B125" s="73" t="s">
        <v>202</v>
      </c>
      <c r="C125" s="73" t="s">
        <v>381</v>
      </c>
      <c r="D125" s="75" t="s">
        <v>398</v>
      </c>
    </row>
    <row r="126" spans="1:4" ht="19.2" x14ac:dyDescent="0.45">
      <c r="A126" s="36">
        <v>50</v>
      </c>
      <c r="B126" s="36">
        <v>2</v>
      </c>
      <c r="C126" s="79">
        <f>A126*B126</f>
        <v>100</v>
      </c>
      <c r="D126" s="35">
        <f>C126*$B$123</f>
        <v>7.5</v>
      </c>
    </row>
    <row r="127" spans="1:4" ht="19.2" x14ac:dyDescent="0.45">
      <c r="A127" s="36">
        <v>20</v>
      </c>
      <c r="B127" s="36">
        <v>9</v>
      </c>
      <c r="C127" s="79">
        <f t="shared" ref="C127:C133" si="5">A127*B127</f>
        <v>180</v>
      </c>
      <c r="D127" s="35">
        <f>C127*$B$123</f>
        <v>13.5</v>
      </c>
    </row>
    <row r="128" spans="1:4" ht="19.2" x14ac:dyDescent="0.45">
      <c r="A128" s="36">
        <v>30</v>
      </c>
      <c r="B128" s="36">
        <v>4</v>
      </c>
      <c r="C128" s="79">
        <f t="shared" si="5"/>
        <v>120</v>
      </c>
      <c r="D128" s="35">
        <f>C128*$B$123</f>
        <v>9</v>
      </c>
    </row>
    <row r="129" spans="1:4" ht="19.2" x14ac:dyDescent="0.45">
      <c r="A129" s="36">
        <v>40</v>
      </c>
      <c r="B129" s="36">
        <v>10</v>
      </c>
      <c r="C129" s="79">
        <f t="shared" si="5"/>
        <v>400</v>
      </c>
      <c r="D129" s="35">
        <f t="shared" ref="D127:D133" si="6">C129*$B$123</f>
        <v>30</v>
      </c>
    </row>
    <row r="130" spans="1:4" ht="19.2" x14ac:dyDescent="0.45">
      <c r="A130" s="36">
        <v>50</v>
      </c>
      <c r="B130" s="36">
        <v>1</v>
      </c>
      <c r="C130" s="79">
        <f t="shared" si="5"/>
        <v>50</v>
      </c>
      <c r="D130" s="35">
        <f t="shared" si="6"/>
        <v>3.75</v>
      </c>
    </row>
    <row r="131" spans="1:4" ht="19.2" x14ac:dyDescent="0.45">
      <c r="A131" s="36">
        <v>60</v>
      </c>
      <c r="B131" s="36">
        <v>6</v>
      </c>
      <c r="C131" s="79">
        <f t="shared" si="5"/>
        <v>360</v>
      </c>
      <c r="D131" s="35">
        <f t="shared" si="6"/>
        <v>27</v>
      </c>
    </row>
    <row r="132" spans="1:4" ht="19.2" x14ac:dyDescent="0.45">
      <c r="A132" s="36">
        <v>70</v>
      </c>
      <c r="B132" s="36">
        <v>4</v>
      </c>
      <c r="C132" s="79">
        <f t="shared" si="5"/>
        <v>280</v>
      </c>
      <c r="D132" s="35">
        <f t="shared" si="6"/>
        <v>21</v>
      </c>
    </row>
    <row r="133" spans="1:4" ht="19.2" x14ac:dyDescent="0.45">
      <c r="A133" s="36">
        <v>80</v>
      </c>
      <c r="B133" s="36">
        <v>2</v>
      </c>
      <c r="C133" s="79">
        <f t="shared" si="5"/>
        <v>160</v>
      </c>
      <c r="D133" s="35">
        <f t="shared" si="6"/>
        <v>12</v>
      </c>
    </row>
  </sheetData>
  <mergeCells count="7">
    <mergeCell ref="A121:D121"/>
    <mergeCell ref="I1:O1"/>
    <mergeCell ref="A21:D21"/>
    <mergeCell ref="A50:D50"/>
    <mergeCell ref="A84:D84"/>
    <mergeCell ref="K4:O4"/>
    <mergeCell ref="I6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430543C6-1E83-46B4-AA33-A9DAABE59DF6}"/>
</file>

<file path=customXml/itemProps2.xml><?xml version="1.0" encoding="utf-8"?>
<ds:datastoreItem xmlns:ds="http://schemas.openxmlformats.org/officeDocument/2006/customXml" ds:itemID="{C0C8C46F-BA6B-43CC-A655-2F3F76852E20}"/>
</file>

<file path=customXml/itemProps3.xml><?xml version="1.0" encoding="utf-8"?>
<ds:datastoreItem xmlns:ds="http://schemas.openxmlformats.org/officeDocument/2006/customXml" ds:itemID="{D6A48DB3-2615-49BB-93E2-3434F3AB3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Text Functions</vt:lpstr>
      <vt:lpstr>Date Functions</vt:lpstr>
      <vt:lpstr>Logical Functions</vt:lpstr>
      <vt:lpstr>Master Shortcut</vt:lpstr>
      <vt:lpstr>Name Range</vt:lpstr>
      <vt:lpstr>Statistical Functions</vt:lpstr>
      <vt:lpstr>Cell Referencing</vt:lpstr>
      <vt:lpstr>City3</vt:lpstr>
      <vt:lpstr>City5</vt:lpstr>
      <vt:lpstr>City7</vt:lpstr>
      <vt:lpstr>Division1</vt:lpstr>
      <vt:lpstr>DOJ1_</vt:lpstr>
      <vt:lpstr>Fruits1</vt:lpstr>
      <vt:lpstr>Fruits3</vt:lpstr>
      <vt:lpstr>Fruits5</vt:lpstr>
      <vt:lpstr>Fruits7</vt:lpstr>
      <vt:lpstr>Name1</vt:lpstr>
      <vt:lpstr>Quantity1</vt:lpstr>
      <vt:lpstr>Quantity3</vt:lpstr>
      <vt:lpstr>Quantity5</vt:lpstr>
      <vt:lpstr>Quantity7</vt:lpstr>
      <vt:lpstr>Salary1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HP</dc:creator>
  <cp:lastModifiedBy>Pavan Lalwani</cp:lastModifiedBy>
  <dcterms:created xsi:type="dcterms:W3CDTF">2015-06-05T18:17:20Z</dcterms:created>
  <dcterms:modified xsi:type="dcterms:W3CDTF">2024-09-02T03:15:35Z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