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HP\OneDrive - TechnoEdge Learning Services India Private Limited\Excel 2024 Course English\Excel Course Material\"/>
    </mc:Choice>
  </mc:AlternateContent>
  <xr:revisionPtr revIDLastSave="0" documentId="13_ncr:1_{E2102D13-C0D1-4E56-99D2-CB67C8EB3CA6}" xr6:coauthVersionLast="47" xr6:coauthVersionMax="47" xr10:uidLastSave="{00000000-0000-0000-0000-000000000000}"/>
  <bookViews>
    <workbookView xWindow="-108" yWindow="-108" windowWidth="23256" windowHeight="12456" tabRatio="754" activeTab="4" xr2:uid="{00000000-000D-0000-FFFF-FFFF00000000}"/>
  </bookViews>
  <sheets>
    <sheet name="Cover Page" sheetId="1" r:id="rId1"/>
    <sheet name="IF-Example1" sheetId="19" r:id="rId2"/>
    <sheet name="IF-Example2" sheetId="24" r:id="rId3"/>
    <sheet name=" IF-AND" sheetId="25" r:id="rId4"/>
    <sheet name="IF-AND Example 2" sheetId="21" r:id="rId5"/>
    <sheet name=" IF-OR" sheetId="26" r:id="rId6"/>
    <sheet name="Nested IF Ex1" sheetId="20" r:id="rId7"/>
    <sheet name="IFERROR" sheetId="2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7" l="1"/>
  <c r="D7" i="27"/>
  <c r="D8" i="27"/>
  <c r="D9" i="27"/>
  <c r="D10" i="27"/>
  <c r="D5" i="27"/>
  <c r="E4" i="21"/>
  <c r="E5" i="21"/>
  <c r="E6" i="21"/>
  <c r="E7" i="21"/>
  <c r="E8" i="21"/>
  <c r="E9" i="21"/>
  <c r="E10" i="21"/>
  <c r="E11" i="21"/>
  <c r="E12" i="21"/>
  <c r="E13" i="21"/>
  <c r="E14" i="21"/>
  <c r="E3" i="21"/>
  <c r="D4" i="20" a="1"/>
  <c r="D4" i="20" s="1"/>
  <c r="D5" i="20" a="1"/>
  <c r="D5" i="20"/>
  <c r="D6" i="20" a="1"/>
  <c r="D6" i="20" s="1"/>
  <c r="D7" i="20" a="1"/>
  <c r="D7" i="20"/>
  <c r="D8" i="20" a="1"/>
  <c r="D8" i="20" s="1"/>
  <c r="D9" i="20" a="1"/>
  <c r="D9" i="20"/>
  <c r="D10" i="20" a="1"/>
  <c r="D10" i="20" s="1"/>
  <c r="D11" i="20" a="1"/>
  <c r="D11" i="20"/>
  <c r="D12" i="20" a="1"/>
  <c r="D12" i="20" s="1"/>
  <c r="D13" i="20" a="1"/>
  <c r="D13" i="20" s="1"/>
  <c r="D14" i="20" a="1"/>
  <c r="D14" i="20" s="1"/>
  <c r="D3" i="20" a="1"/>
  <c r="D3" i="20" s="1"/>
  <c r="C4" i="20"/>
  <c r="C5" i="20"/>
  <c r="C6" i="20"/>
  <c r="C7" i="20"/>
  <c r="C8" i="20"/>
  <c r="C9" i="20"/>
  <c r="C10" i="20"/>
  <c r="C11" i="20"/>
  <c r="C12" i="20"/>
  <c r="C13" i="20"/>
  <c r="C14" i="20"/>
  <c r="C3" i="20"/>
  <c r="D6" i="26"/>
  <c r="D7" i="26"/>
  <c r="D8" i="26"/>
  <c r="D9" i="26"/>
  <c r="D10" i="26"/>
  <c r="D5" i="26"/>
  <c r="D6" i="25"/>
  <c r="D7" i="25"/>
  <c r="D8" i="25"/>
  <c r="D9" i="25"/>
  <c r="D10" i="25"/>
  <c r="D11" i="25"/>
  <c r="D5" i="25"/>
  <c r="D6" i="24"/>
  <c r="D7" i="24"/>
  <c r="D8" i="24"/>
  <c r="D9" i="24"/>
  <c r="D10" i="24"/>
  <c r="D5" i="2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<sst xmlns="http://schemas.openxmlformats.org/spreadsheetml/2006/main" count="138" uniqueCount="79">
  <si>
    <t>Question</t>
  </si>
  <si>
    <t>Name</t>
  </si>
  <si>
    <t>Division</t>
  </si>
  <si>
    <t>Salary p.a. (US$)</t>
  </si>
  <si>
    <t>HFD</t>
  </si>
  <si>
    <t>RAD</t>
  </si>
  <si>
    <t>CDFD</t>
  </si>
  <si>
    <t>ED</t>
  </si>
  <si>
    <t>RDD</t>
  </si>
  <si>
    <t>Rating</t>
  </si>
  <si>
    <t>Rating 1-3 AND Division "CDFD" AND Salary &lt; 50K</t>
  </si>
  <si>
    <t>FIND OUT WHETHER THE PERSON IS ELIGIBLE OR NOT ELIGIBLE FOR BONUS</t>
  </si>
  <si>
    <t>STATUS</t>
  </si>
  <si>
    <t>Price</t>
  </si>
  <si>
    <t>Result</t>
  </si>
  <si>
    <t>Score 1</t>
  </si>
  <si>
    <t>Score 2</t>
  </si>
  <si>
    <t>Richard</t>
  </si>
  <si>
    <t>Stephen</t>
  </si>
  <si>
    <t>John</t>
  </si>
  <si>
    <t>Natasha</t>
  </si>
  <si>
    <t>Elvin</t>
  </si>
  <si>
    <t>Joseph</t>
  </si>
  <si>
    <t>if the first score is greater than or equal to 60 or the second score is greater than or equal to 90, Result should be "PASS" Else "FAIL"</t>
  </si>
  <si>
    <t>Total Amount</t>
  </si>
  <si>
    <t>Rate /Unit</t>
  </si>
  <si>
    <t>Total Unit</t>
  </si>
  <si>
    <t>Find the Total Unit and if the Total Unit returns Error, replace the same with a Text " Please Enter Value more than 0"</t>
  </si>
  <si>
    <t>Gopal Agrawal</t>
  </si>
  <si>
    <t>Aniket Khirsagar</t>
  </si>
  <si>
    <t>Rahul Shirude</t>
  </si>
  <si>
    <t>Raju Chudiwal</t>
  </si>
  <si>
    <t>Pramod Pawar</t>
  </si>
  <si>
    <t>Pandhari Tayde (SIR)</t>
  </si>
  <si>
    <t>Philip Bhalerao</t>
  </si>
  <si>
    <t>Pavan Lalwani</t>
  </si>
  <si>
    <t>Sonal Agarwal</t>
  </si>
  <si>
    <t>Ajinkya Deshmukh</t>
  </si>
  <si>
    <t xml:space="preserve">Pandhari Tayde </t>
  </si>
  <si>
    <t>Semester 1</t>
  </si>
  <si>
    <t>Semester 2</t>
  </si>
  <si>
    <r>
      <t xml:space="preserve">If Semester 2 is greater than Semester 1 Then </t>
    </r>
    <r>
      <rPr>
        <b/>
        <sz val="12"/>
        <color rgb="FF00B050"/>
        <rFont val="Segoe UI"/>
        <family val="2"/>
      </rPr>
      <t>Increment</t>
    </r>
    <r>
      <rPr>
        <sz val="12"/>
        <color theme="1"/>
        <rFont val="Segoe UI"/>
        <family val="2"/>
      </rPr>
      <t xml:space="preserve"> else </t>
    </r>
    <r>
      <rPr>
        <sz val="12"/>
        <color rgb="FFFF0000"/>
        <rFont val="Segoe UI"/>
        <family val="2"/>
      </rPr>
      <t>decrement</t>
    </r>
  </si>
  <si>
    <t>Geography
(Marks out of 100)</t>
  </si>
  <si>
    <t>Civics
(Marks out of 50)</t>
  </si>
  <si>
    <r>
      <t xml:space="preserve">Geography &gt; 40 </t>
    </r>
    <r>
      <rPr>
        <sz val="12"/>
        <color rgb="FFFF0000"/>
        <rFont val="Segoe UI"/>
        <family val="2"/>
      </rPr>
      <t xml:space="preserve">AND </t>
    </r>
    <r>
      <rPr>
        <sz val="12"/>
        <color theme="1"/>
        <rFont val="Segoe UI"/>
        <family val="2"/>
      </rPr>
      <t>Civics &gt; 20 then Pass else Fail</t>
    </r>
  </si>
  <si>
    <r>
      <t xml:space="preserve">Geography &gt; 40 </t>
    </r>
    <r>
      <rPr>
        <sz val="12"/>
        <color rgb="FFFF0000"/>
        <rFont val="Segoe UI"/>
        <family val="2"/>
      </rPr>
      <t xml:space="preserve">OR </t>
    </r>
    <r>
      <rPr>
        <sz val="12"/>
        <color theme="1"/>
        <rFont val="Segoe UI"/>
        <family val="2"/>
      </rPr>
      <t>Civics &gt; 20 then Pass else Fail</t>
    </r>
  </si>
  <si>
    <t>Quantity</t>
  </si>
  <si>
    <t>Sales in K</t>
  </si>
  <si>
    <r>
      <t xml:space="preserve">IF Error then replace it with </t>
    </r>
    <r>
      <rPr>
        <sz val="12"/>
        <color rgb="FFFF0000"/>
        <rFont val="Segoe UI"/>
        <family val="2"/>
      </rPr>
      <t>"Invalid Quantity"</t>
    </r>
  </si>
  <si>
    <t>Palak Bharuka</t>
  </si>
  <si>
    <t>Jayshree T</t>
  </si>
  <si>
    <t>Nilima B</t>
  </si>
  <si>
    <t>Roopa B</t>
  </si>
  <si>
    <t>Rupali S</t>
  </si>
  <si>
    <t>Shraddha D</t>
  </si>
  <si>
    <t>Mahesh S</t>
  </si>
  <si>
    <t>Umesh S</t>
  </si>
  <si>
    <t>Rahul Khandelwal</t>
  </si>
  <si>
    <t>Vijay Lalwani</t>
  </si>
  <si>
    <t>Rahul Mohite</t>
  </si>
  <si>
    <t>Dilip Thete</t>
  </si>
  <si>
    <t>Ajay Sharma</t>
  </si>
  <si>
    <t>Aniket Kshirsagar</t>
  </si>
  <si>
    <t>Gopal Bharuka</t>
  </si>
  <si>
    <t>Mahesh Siroya</t>
  </si>
  <si>
    <t>Umesh Siroya</t>
  </si>
  <si>
    <t>Nilesh Jaiswal</t>
  </si>
  <si>
    <t>Pandhari Tayde</t>
  </si>
  <si>
    <t>1-3</t>
  </si>
  <si>
    <t>Good</t>
  </si>
  <si>
    <t>4-5</t>
  </si>
  <si>
    <t>OK</t>
  </si>
  <si>
    <t>6-8</t>
  </si>
  <si>
    <t>Bad</t>
  </si>
  <si>
    <t>Rating Output</t>
  </si>
  <si>
    <t>Q1: If Price is greater than 2000, then TRUE else FALSE</t>
  </si>
  <si>
    <t>Greater than 2000</t>
  </si>
  <si>
    <t>Q2: If Price is greater than 2000, then TRUE else FALSE</t>
  </si>
  <si>
    <t>Q3: Score 1 should be above 60 and Score 2 above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</si>
</sst>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color theme="1"/>
      <name val="Segoe UI"/>
      <family val="2"/>
    </font>
    <font>
      <sz val="12"/>
      <color theme="0"/>
      <name val="Segoe UI"/>
      <family val="2"/>
    </font>
    <font>
      <b/>
      <sz val="12"/>
      <color theme="0"/>
      <name val="Segoe UI"/>
      <family val="2"/>
    </font>
    <font>
      <b/>
      <sz val="12"/>
      <color theme="1"/>
      <name val="Segoe UI"/>
      <family val="2"/>
    </font>
    <font>
      <b/>
      <sz val="12"/>
      <color rgb="FF00B050"/>
      <name val="Segoe UI"/>
      <family val="2"/>
    </font>
    <font>
      <sz val="12"/>
      <color rgb="FFFF0000"/>
      <name val="Segoe UI"/>
      <family val="2"/>
    </font>
    <font>
      <sz val="12"/>
      <name val="Segoe UI"/>
      <family val="2"/>
    </font>
    <font>
      <sz val="8"/>
      <name val="Calibri"/>
      <family val="2"/>
      <scheme val="minor"/>
    </font>
    <font>
      <sz val="14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1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164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4" borderId="0" applyNumberFormat="0" applyBorder="0" applyAlignment="0" applyProtection="0"/>
  </cellStyleXfs>
  <cellXfs count="39">
    <xf numFmtId="0" fontId="0" fillId="0" borderId="0" xfId="0"/>
    <xf numFmtId="0" fontId="6" fillId="0" borderId="0" xfId="0" applyFont="1"/>
    <xf numFmtId="0" fontId="6" fillId="0" borderId="1" xfId="5" applyFont="1" applyBorder="1" applyAlignment="1">
      <alignment horizontal="center"/>
    </xf>
    <xf numFmtId="0" fontId="6" fillId="0" borderId="1" xfId="0" applyFont="1" applyBorder="1"/>
    <xf numFmtId="0" fontId="8" fillId="2" borderId="1" xfId="1" applyFont="1" applyBorder="1"/>
    <xf numFmtId="0" fontId="8" fillId="2" borderId="1" xfId="1" applyFont="1" applyBorder="1" applyAlignment="1">
      <alignment horizontal="center"/>
    </xf>
    <xf numFmtId="0" fontId="8" fillId="4" borderId="1" xfId="8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vertical="center" wrapText="1"/>
    </xf>
    <xf numFmtId="0" fontId="8" fillId="2" borderId="0" xfId="1" applyFont="1"/>
    <xf numFmtId="0" fontId="8" fillId="2" borderId="0" xfId="1" applyFont="1" applyAlignment="1">
      <alignment horizontal="center"/>
    </xf>
    <xf numFmtId="0" fontId="8" fillId="4" borderId="0" xfId="8" applyFont="1" applyAlignment="1">
      <alignment horizontal="center"/>
    </xf>
    <xf numFmtId="0" fontId="7" fillId="2" borderId="0" xfId="1" applyFont="1"/>
    <xf numFmtId="0" fontId="6" fillId="0" borderId="0" xfId="0" applyFont="1" applyAlignment="1">
      <alignment horizontal="center"/>
    </xf>
    <xf numFmtId="0" fontId="7" fillId="2" borderId="0" xfId="1" applyFont="1" applyAlignment="1">
      <alignment horizontal="center"/>
    </xf>
    <xf numFmtId="0" fontId="7" fillId="4" borderId="0" xfId="8" applyFont="1" applyAlignment="1">
      <alignment horizontal="center"/>
    </xf>
    <xf numFmtId="0" fontId="6" fillId="3" borderId="1" xfId="0" applyFont="1" applyFill="1" applyBorder="1"/>
    <xf numFmtId="0" fontId="8" fillId="2" borderId="1" xfId="1" applyFont="1" applyBorder="1" applyAlignment="1">
      <alignment horizontal="center" wrapText="1"/>
    </xf>
    <xf numFmtId="0" fontId="7" fillId="2" borderId="1" xfId="1" applyFont="1" applyBorder="1" applyAlignment="1">
      <alignment horizontal="left" vertical="center"/>
    </xf>
    <xf numFmtId="0" fontId="7" fillId="2" borderId="1" xfId="1" applyFont="1" applyBorder="1" applyAlignment="1">
      <alignment horizontal="center" vertical="center"/>
    </xf>
    <xf numFmtId="0" fontId="7" fillId="2" borderId="1" xfId="1" applyFont="1" applyBorder="1" applyAlignment="1">
      <alignment horizontal="center" vertical="center" wrapText="1"/>
    </xf>
    <xf numFmtId="3" fontId="12" fillId="0" borderId="1" xfId="3" applyNumberFormat="1" applyFont="1" applyBorder="1" applyAlignment="1" applyProtection="1">
      <alignment horizontal="center" vertical="top" wrapText="1"/>
    </xf>
    <xf numFmtId="165" fontId="12" fillId="0" borderId="1" xfId="7" applyFont="1" applyBorder="1" applyAlignment="1" applyProtection="1">
      <alignment horizontal="center" vertical="top" wrapText="1"/>
    </xf>
    <xf numFmtId="0" fontId="12" fillId="0" borderId="1" xfId="5" applyFont="1" applyBorder="1" applyAlignment="1">
      <alignment horizontal="center"/>
    </xf>
    <xf numFmtId="0" fontId="12" fillId="0" borderId="1" xfId="5" applyFont="1" applyBorder="1"/>
    <xf numFmtId="0" fontId="9" fillId="0" borderId="0" xfId="0" applyFont="1"/>
    <xf numFmtId="0" fontId="7" fillId="4" borderId="2" xfId="8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2" fontId="6" fillId="0" borderId="1" xfId="0" quotePrefix="1" applyNumberFormat="1" applyFont="1" applyBorder="1"/>
    <xf numFmtId="16" fontId="6" fillId="0" borderId="1" xfId="0" quotePrefix="1" applyNumberFormat="1" applyFont="1" applyBorder="1"/>
    <xf numFmtId="0" fontId="12" fillId="0" borderId="0" xfId="5" applyFont="1"/>
    <xf numFmtId="0" fontId="6" fillId="0" borderId="0" xfId="0" applyFont="1" applyAlignment="1">
      <alignment horizontal="distributed" wrapText="1"/>
    </xf>
    <xf numFmtId="0" fontId="7" fillId="2" borderId="1" xfId="1" applyFont="1" applyBorder="1"/>
    <xf numFmtId="0" fontId="6" fillId="0" borderId="1" xfId="0" applyFont="1" applyBorder="1" applyAlignment="1">
      <alignment vertical="center" wrapText="1"/>
    </xf>
    <xf numFmtId="0" fontId="7" fillId="5" borderId="1" xfId="1" applyFont="1" applyFill="1" applyBorder="1" applyAlignment="1">
      <alignment horizontal="center"/>
    </xf>
    <xf numFmtId="0" fontId="7" fillId="5" borderId="1" xfId="8" applyFont="1" applyFill="1" applyBorder="1" applyAlignment="1">
      <alignment horizontal="center"/>
    </xf>
    <xf numFmtId="0" fontId="1" fillId="5" borderId="0" xfId="0" applyFont="1" applyFill="1"/>
    <xf numFmtId="0" fontId="14" fillId="5" borderId="3" xfId="1" applyFont="1" applyFill="1" applyBorder="1" applyAlignment="1">
      <alignment horizontal="center" vertical="center" wrapText="1"/>
    </xf>
    <xf numFmtId="0" fontId="14" fillId="5" borderId="0" xfId="1" applyFont="1" applyFill="1" applyBorder="1" applyAlignment="1">
      <alignment horizontal="center" vertical="center" wrapText="1"/>
    </xf>
  </cellXfs>
  <cellStyles count="9">
    <cellStyle name="Accent2" xfId="8" builtinId="33"/>
    <cellStyle name="Accent5" xfId="1" builtinId="45"/>
    <cellStyle name="Comma 2" xfId="3" xr:uid="{DA24D003-4D65-458E-8FAA-61B5D536298F}"/>
    <cellStyle name="Comma 3" xfId="6" xr:uid="{12F79A46-8046-433C-B380-1D4695758246}"/>
    <cellStyle name="Comma 4 2" xfId="7" xr:uid="{9CE6801D-6D9F-474D-A590-7B44EA2A6623}"/>
    <cellStyle name="Comma 6" xfId="4" xr:uid="{537F4F13-239D-4299-8474-0D6780F6FFB3}"/>
    <cellStyle name="Date" xfId="2" xr:uid="{CBC6A3BE-68B3-4B27-AA56-F9AECEE3E10A}"/>
    <cellStyle name="Normal" xfId="0" builtinId="0"/>
    <cellStyle name="Normal 2 2" xfId="5" xr:uid="{9775251D-C2F0-4D52-9D45-D1A958B94EFE}"/>
  </cellStyles>
  <dxfs count="0"/>
  <tableStyles count="1" defaultTableStyle="TableStyleMedium2" defaultPivotStyle="PivotStyleLight16">
    <tableStyle name="Invisible" pivot="0" table="0" count="0" xr9:uid="{41B74798-0F0C-4D14-BB35-C28EFA2F1D17}"/>
  </tableStyles>
  <colors>
    <mruColors>
      <color rgb="FF2060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8644</xdr:colOff>
      <xdr:row>0</xdr:row>
      <xdr:rowOff>49959</xdr:rowOff>
    </xdr:from>
    <xdr:to>
      <xdr:col>7</xdr:col>
      <xdr:colOff>328448</xdr:colOff>
      <xdr:row>6</xdr:row>
      <xdr:rowOff>131379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BFA00DE-EAAC-4E57-94BE-033A1CF262E1}"/>
            </a:ext>
          </a:extLst>
        </xdr:cNvPr>
        <xdr:cNvSpPr/>
      </xdr:nvSpPr>
      <xdr:spPr>
        <a:xfrm>
          <a:off x="8644" y="49959"/>
          <a:ext cx="4596201" cy="12244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20602B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Module :</a:t>
          </a:r>
          <a:r>
            <a:rPr lang="en-IN" sz="3200"/>
            <a:t> </a:t>
          </a:r>
          <a:r>
            <a:rPr lang="en-IN" sz="3200" b="0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Logical</a:t>
          </a:r>
          <a:r>
            <a:rPr lang="en-IN" sz="3200" b="0" cap="none" spc="0" baseline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Functions</a:t>
          </a:r>
          <a:endParaRPr lang="en-IN" sz="3200">
            <a:solidFill>
              <a:schemeClr val="accent5">
                <a:lumMod val="50000"/>
              </a:schemeClr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 editAs="oneCell">
    <xdr:from>
      <xdr:col>0</xdr:col>
      <xdr:colOff>256483</xdr:colOff>
      <xdr:row>6</xdr:row>
      <xdr:rowOff>24086</xdr:rowOff>
    </xdr:from>
    <xdr:to>
      <xdr:col>2</xdr:col>
      <xdr:colOff>527706</xdr:colOff>
      <xdr:row>11</xdr:row>
      <xdr:rowOff>24086</xdr:rowOff>
    </xdr:to>
    <xdr:pic>
      <xdr:nvPicPr>
        <xdr:cNvPr id="4" name="Picture 3" descr="Math Function Symbol - Free vector graphic on Pixabay">
          <a:extLst>
            <a:ext uri="{FF2B5EF4-FFF2-40B4-BE49-F238E27FC236}">
              <a16:creationId xmlns:a16="http://schemas.microsoft.com/office/drawing/2014/main" id="{3535A47E-81EA-45EB-A5FF-284998E75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483" y="1127672"/>
          <a:ext cx="1549982" cy="919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showGridLines="0" showRowColHeaders="0" zoomScale="145" zoomScaleNormal="145" workbookViewId="0">
      <selection activeCell="G5" sqref="G5"/>
    </sheetView>
  </sheetViews>
  <sheetFormatPr defaultColWidth="0" defaultRowHeight="14.4" zeroHeight="1" x14ac:dyDescent="0.3"/>
  <cols>
    <col min="1" max="9" width="9.21875" customWidth="1"/>
    <col min="10" max="16384" width="9.21875" hidden="1"/>
  </cols>
  <sheetData>
    <row r="1" spans="4:4" x14ac:dyDescent="0.3"/>
    <row r="2" spans="4:4" x14ac:dyDescent="0.3"/>
    <row r="3" spans="4:4" x14ac:dyDescent="0.3"/>
    <row r="4" spans="4:4" x14ac:dyDescent="0.3"/>
    <row r="5" spans="4:4" x14ac:dyDescent="0.3"/>
    <row r="6" spans="4:4" x14ac:dyDescent="0.3"/>
    <row r="7" spans="4:4" x14ac:dyDescent="0.3"/>
    <row r="8" spans="4:4" x14ac:dyDescent="0.3"/>
    <row r="9" spans="4:4" x14ac:dyDescent="0.3"/>
    <row r="10" spans="4:4" x14ac:dyDescent="0.3"/>
    <row r="11" spans="4:4" x14ac:dyDescent="0.3"/>
    <row r="12" spans="4:4" ht="19.2" x14ac:dyDescent="0.45">
      <c r="D12" s="1"/>
    </row>
    <row r="13" spans="4:4" x14ac:dyDescent="0.3"/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F381-2394-4854-83A3-02BA1DD8D0D3}">
  <dimension ref="A1:G57"/>
  <sheetViews>
    <sheetView showGridLines="0" topLeftCell="A46" zoomScale="120" zoomScaleNormal="120" workbookViewId="0">
      <selection activeCell="B58" sqref="A1:XFD1048576"/>
    </sheetView>
  </sheetViews>
  <sheetFormatPr defaultColWidth="15.77734375" defaultRowHeight="19.2" x14ac:dyDescent="0.45"/>
  <cols>
    <col min="1" max="1" width="14.6640625" style="1" bestFit="1" customWidth="1"/>
    <col min="2" max="3" width="19" style="1" bestFit="1" customWidth="1"/>
    <col min="4" max="4" width="14.33203125" style="1" customWidth="1"/>
    <col min="5" max="5" width="15.77734375" style="1"/>
    <col min="6" max="6" width="10" style="1" bestFit="1" customWidth="1"/>
    <col min="7" max="16384" width="15.77734375" style="1"/>
  </cols>
  <sheetData>
    <row r="1" spans="1:7" ht="28.8" customHeight="1" x14ac:dyDescent="0.45">
      <c r="A1" s="37" t="s">
        <v>75</v>
      </c>
      <c r="B1" s="38"/>
      <c r="C1" s="38"/>
      <c r="D1" s="38"/>
      <c r="E1" s="38"/>
    </row>
    <row r="3" spans="1:7" x14ac:dyDescent="0.45">
      <c r="A3" s="34" t="s">
        <v>13</v>
      </c>
      <c r="B3" s="35" t="s">
        <v>76</v>
      </c>
      <c r="C3" s="35" t="s">
        <v>76</v>
      </c>
    </row>
    <row r="4" spans="1:7" x14ac:dyDescent="0.45">
      <c r="A4" s="7">
        <v>3000</v>
      </c>
      <c r="B4" s="16"/>
      <c r="C4" s="16"/>
      <c r="E4" s="8"/>
      <c r="F4" s="8"/>
      <c r="G4" s="8"/>
    </row>
    <row r="5" spans="1:7" x14ac:dyDescent="0.45">
      <c r="A5" s="7">
        <v>1350</v>
      </c>
      <c r="B5" s="16"/>
      <c r="C5" s="16"/>
      <c r="E5" s="8"/>
      <c r="F5" s="8"/>
      <c r="G5" s="8"/>
    </row>
    <row r="6" spans="1:7" x14ac:dyDescent="0.45">
      <c r="A6" s="7">
        <v>600</v>
      </c>
      <c r="B6" s="16"/>
      <c r="C6" s="16"/>
    </row>
    <row r="7" spans="1:7" x14ac:dyDescent="0.45">
      <c r="A7" s="7">
        <v>100</v>
      </c>
      <c r="B7" s="16"/>
      <c r="C7" s="16"/>
    </row>
    <row r="8" spans="1:7" x14ac:dyDescent="0.45">
      <c r="A8" s="7">
        <v>4069</v>
      </c>
      <c r="B8" s="16"/>
      <c r="C8" s="16"/>
    </row>
    <row r="9" spans="1:7" x14ac:dyDescent="0.45">
      <c r="A9" s="7">
        <v>99</v>
      </c>
      <c r="B9" s="16"/>
      <c r="C9" s="16"/>
    </row>
    <row r="10" spans="1:7" x14ac:dyDescent="0.45">
      <c r="A10" s="7">
        <v>2518</v>
      </c>
      <c r="B10" s="16"/>
      <c r="C10" s="16"/>
    </row>
    <row r="11" spans="1:7" customFormat="1" ht="14.4" x14ac:dyDescent="0.3"/>
    <row r="12" spans="1:7" customFormat="1" ht="14.4" x14ac:dyDescent="0.3"/>
    <row r="13" spans="1:7" customFormat="1" ht="14.4" x14ac:dyDescent="0.3"/>
    <row r="14" spans="1:7" customFormat="1" ht="14.4" x14ac:dyDescent="0.3"/>
    <row r="15" spans="1:7" customFormat="1" ht="14.4" x14ac:dyDescent="0.3"/>
    <row r="16" spans="1:7" customFormat="1" ht="14.4" x14ac:dyDescent="0.3">
      <c r="A16" s="36">
        <v>2000</v>
      </c>
    </row>
    <row r="17" spans="1:5" customFormat="1" ht="14.4" x14ac:dyDescent="0.3"/>
    <row r="18" spans="1:5" customFormat="1" ht="20.399999999999999" customHeight="1" x14ac:dyDescent="0.3">
      <c r="A18" s="37" t="s">
        <v>77</v>
      </c>
      <c r="B18" s="38"/>
      <c r="C18" s="38"/>
      <c r="D18" s="38"/>
      <c r="E18" s="38"/>
    </row>
    <row r="19" spans="1:5" customFormat="1" x14ac:dyDescent="0.45">
      <c r="A19" s="1"/>
      <c r="B19" s="1"/>
      <c r="C19" s="1"/>
      <c r="D19" s="1"/>
    </row>
    <row r="20" spans="1:5" customFormat="1" x14ac:dyDescent="0.45">
      <c r="A20" s="34" t="s">
        <v>13</v>
      </c>
      <c r="B20" s="35" t="s">
        <v>76</v>
      </c>
      <c r="C20" s="35" t="s">
        <v>76</v>
      </c>
      <c r="D20" s="1"/>
    </row>
    <row r="21" spans="1:5" customFormat="1" x14ac:dyDescent="0.45">
      <c r="A21" s="7">
        <v>3000</v>
      </c>
      <c r="B21" s="16"/>
      <c r="C21" s="16"/>
      <c r="D21" s="1"/>
    </row>
    <row r="22" spans="1:5" customFormat="1" x14ac:dyDescent="0.45">
      <c r="A22" s="7">
        <v>1350</v>
      </c>
      <c r="B22" s="16"/>
      <c r="C22" s="16"/>
      <c r="D22" s="1"/>
    </row>
    <row r="23" spans="1:5" customFormat="1" x14ac:dyDescent="0.45">
      <c r="A23" s="7">
        <v>600</v>
      </c>
      <c r="B23" s="16"/>
      <c r="C23" s="16"/>
      <c r="D23" s="1"/>
    </row>
    <row r="24" spans="1:5" customFormat="1" x14ac:dyDescent="0.45">
      <c r="A24" s="7">
        <v>100</v>
      </c>
      <c r="B24" s="16"/>
      <c r="C24" s="16"/>
      <c r="D24" s="1"/>
    </row>
    <row r="25" spans="1:5" customFormat="1" x14ac:dyDescent="0.45">
      <c r="A25" s="7">
        <v>4069</v>
      </c>
      <c r="B25" s="16"/>
      <c r="C25" s="16"/>
      <c r="D25" s="1"/>
    </row>
    <row r="26" spans="1:5" customFormat="1" x14ac:dyDescent="0.45">
      <c r="A26" s="7">
        <v>99</v>
      </c>
      <c r="B26" s="16"/>
      <c r="C26" s="16"/>
      <c r="D26" s="1"/>
    </row>
    <row r="27" spans="1:5" customFormat="1" x14ac:dyDescent="0.45">
      <c r="A27" s="7">
        <v>2518</v>
      </c>
      <c r="B27" s="16"/>
      <c r="C27" s="16"/>
      <c r="D27" s="1"/>
    </row>
    <row r="28" spans="1:5" customFormat="1" ht="14.4" x14ac:dyDescent="0.3"/>
    <row r="29" spans="1:5" customFormat="1" ht="14.4" x14ac:dyDescent="0.3"/>
    <row r="30" spans="1:5" customFormat="1" ht="14.4" x14ac:dyDescent="0.3"/>
    <row r="31" spans="1:5" customFormat="1" ht="14.4" x14ac:dyDescent="0.3"/>
    <row r="32" spans="1:5" customFormat="1" ht="14.4" x14ac:dyDescent="0.3"/>
    <row r="33" spans="1:7" customFormat="1" ht="14.4" x14ac:dyDescent="0.3"/>
    <row r="34" spans="1:7" customFormat="1" ht="14.4" x14ac:dyDescent="0.3"/>
    <row r="35" spans="1:7" customFormat="1" ht="14.4" x14ac:dyDescent="0.3"/>
    <row r="36" spans="1:7" customFormat="1" ht="14.4" x14ac:dyDescent="0.3"/>
    <row r="37" spans="1:7" customFormat="1" ht="14.4" x14ac:dyDescent="0.3"/>
    <row r="38" spans="1:7" customFormat="1" ht="14.4" x14ac:dyDescent="0.3"/>
    <row r="39" spans="1:7" customFormat="1" ht="14.4" x14ac:dyDescent="0.3"/>
    <row r="40" spans="1:7" customFormat="1" ht="14.4" x14ac:dyDescent="0.3"/>
    <row r="41" spans="1:7" customFormat="1" ht="14.4" x14ac:dyDescent="0.3"/>
    <row r="42" spans="1:7" customFormat="1" ht="14.4" x14ac:dyDescent="0.3"/>
    <row r="43" spans="1:7" customFormat="1" ht="14.4" x14ac:dyDescent="0.3"/>
    <row r="44" spans="1:7" customFormat="1" ht="53.4" customHeight="1" x14ac:dyDescent="0.3">
      <c r="A44" s="37" t="s">
        <v>78</v>
      </c>
      <c r="B44" s="38"/>
      <c r="C44" s="38"/>
      <c r="D44" s="38"/>
      <c r="E44" s="38"/>
    </row>
    <row r="47" spans="1:7" x14ac:dyDescent="0.45">
      <c r="A47" s="34" t="s">
        <v>1</v>
      </c>
      <c r="B47" s="35" t="s">
        <v>15</v>
      </c>
      <c r="C47" s="35" t="s">
        <v>16</v>
      </c>
      <c r="D47" s="35" t="s">
        <v>14</v>
      </c>
      <c r="F47"/>
      <c r="G47"/>
    </row>
    <row r="48" spans="1:7" x14ac:dyDescent="0.45">
      <c r="A48" s="3" t="s">
        <v>17</v>
      </c>
      <c r="B48" s="7">
        <v>12</v>
      </c>
      <c r="C48" s="7">
        <v>34</v>
      </c>
      <c r="D48" s="3"/>
      <c r="F48"/>
      <c r="G48"/>
    </row>
    <row r="49" spans="1:7" x14ac:dyDescent="0.45">
      <c r="A49" s="3" t="s">
        <v>18</v>
      </c>
      <c r="B49" s="7">
        <v>28</v>
      </c>
      <c r="C49" s="7">
        <v>56</v>
      </c>
      <c r="D49" s="3"/>
      <c r="F49"/>
      <c r="G49"/>
    </row>
    <row r="50" spans="1:7" x14ac:dyDescent="0.45">
      <c r="A50" s="3" t="s">
        <v>19</v>
      </c>
      <c r="B50" s="7">
        <v>81</v>
      </c>
      <c r="C50" s="7">
        <v>12</v>
      </c>
      <c r="D50" s="3"/>
    </row>
    <row r="51" spans="1:7" x14ac:dyDescent="0.45">
      <c r="A51" s="3" t="s">
        <v>20</v>
      </c>
      <c r="B51" s="7">
        <v>81</v>
      </c>
      <c r="C51" s="7">
        <v>95</v>
      </c>
      <c r="D51" s="3"/>
    </row>
    <row r="52" spans="1:7" x14ac:dyDescent="0.45">
      <c r="A52" s="3" t="s">
        <v>21</v>
      </c>
      <c r="B52" s="7">
        <v>60</v>
      </c>
      <c r="C52" s="7">
        <v>71</v>
      </c>
      <c r="D52" s="3"/>
    </row>
    <row r="53" spans="1:7" x14ac:dyDescent="0.45">
      <c r="A53" s="3" t="s">
        <v>22</v>
      </c>
      <c r="B53" s="7">
        <v>12</v>
      </c>
      <c r="C53" s="7">
        <v>74</v>
      </c>
      <c r="D53" s="3"/>
    </row>
    <row r="57" spans="1:7" x14ac:dyDescent="0.45">
      <c r="A57" s="13"/>
      <c r="B57" s="13"/>
    </row>
  </sheetData>
  <mergeCells count="3">
    <mergeCell ref="A1:E1"/>
    <mergeCell ref="A18:E18"/>
    <mergeCell ref="A44:E4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CDB90-87B3-4709-A0A3-BD8C685715C3}">
  <dimension ref="A1:J10"/>
  <sheetViews>
    <sheetView showGridLines="0" zoomScale="130" zoomScaleNormal="130" workbookViewId="0">
      <selection sqref="A1:D10"/>
    </sheetView>
  </sheetViews>
  <sheetFormatPr defaultColWidth="15.77734375" defaultRowHeight="19.2" x14ac:dyDescent="0.45"/>
  <cols>
    <col min="1" max="1" width="21" style="1" bestFit="1" customWidth="1"/>
    <col min="2" max="16384" width="15.77734375" style="1"/>
  </cols>
  <sheetData>
    <row r="1" spans="1:10" x14ac:dyDescent="0.45">
      <c r="A1" s="32" t="s">
        <v>0</v>
      </c>
      <c r="B1" s="32"/>
      <c r="C1" s="32"/>
      <c r="D1" s="32"/>
    </row>
    <row r="2" spans="1:10" ht="36.450000000000003" customHeight="1" x14ac:dyDescent="0.45">
      <c r="A2" s="33" t="s">
        <v>41</v>
      </c>
      <c r="B2" s="33"/>
      <c r="C2" s="33"/>
      <c r="D2" s="33"/>
    </row>
    <row r="4" spans="1:10" x14ac:dyDescent="0.45">
      <c r="A4" s="4" t="s">
        <v>1</v>
      </c>
      <c r="B4" s="5" t="s">
        <v>39</v>
      </c>
      <c r="C4" s="5" t="s">
        <v>40</v>
      </c>
      <c r="D4" s="6" t="s">
        <v>14</v>
      </c>
    </row>
    <row r="5" spans="1:10" x14ac:dyDescent="0.45">
      <c r="A5" s="3" t="s">
        <v>28</v>
      </c>
      <c r="B5" s="7">
        <v>12</v>
      </c>
      <c r="C5" s="7">
        <v>34</v>
      </c>
      <c r="D5" s="3" t="str">
        <f>IF(C5&gt;B5,"Increment","Decrement")</f>
        <v>Increment</v>
      </c>
      <c r="E5" s="8"/>
      <c r="F5" s="8"/>
      <c r="G5" s="8"/>
      <c r="H5" s="8"/>
      <c r="I5" s="8"/>
      <c r="J5" s="8"/>
    </row>
    <row r="6" spans="1:10" x14ac:dyDescent="0.45">
      <c r="A6" s="3" t="s">
        <v>29</v>
      </c>
      <c r="B6" s="7">
        <v>28</v>
      </c>
      <c r="C6" s="7">
        <v>56</v>
      </c>
      <c r="D6" s="3" t="str">
        <f t="shared" ref="D6:D10" si="0">IF(C6&gt;B6,"Increment","Decrement")</f>
        <v>Increment</v>
      </c>
      <c r="E6" s="8"/>
      <c r="F6" s="8"/>
      <c r="G6" s="8"/>
      <c r="H6" s="8"/>
      <c r="I6" s="8"/>
      <c r="J6" s="8"/>
    </row>
    <row r="7" spans="1:10" x14ac:dyDescent="0.45">
      <c r="A7" s="3" t="s">
        <v>30</v>
      </c>
      <c r="B7" s="7">
        <v>81</v>
      </c>
      <c r="C7" s="7">
        <v>12</v>
      </c>
      <c r="D7" s="3" t="str">
        <f t="shared" si="0"/>
        <v>Decrement</v>
      </c>
    </row>
    <row r="8" spans="1:10" x14ac:dyDescent="0.45">
      <c r="A8" s="3" t="s">
        <v>31</v>
      </c>
      <c r="B8" s="7">
        <v>81</v>
      </c>
      <c r="C8" s="7">
        <v>95</v>
      </c>
      <c r="D8" s="3" t="str">
        <f t="shared" si="0"/>
        <v>Increment</v>
      </c>
    </row>
    <row r="9" spans="1:10" x14ac:dyDescent="0.45">
      <c r="A9" s="3" t="s">
        <v>32</v>
      </c>
      <c r="B9" s="7">
        <v>60</v>
      </c>
      <c r="C9" s="7">
        <v>71</v>
      </c>
      <c r="D9" s="3" t="str">
        <f t="shared" si="0"/>
        <v>Increment</v>
      </c>
    </row>
    <row r="10" spans="1:10" x14ac:dyDescent="0.45">
      <c r="A10" s="3" t="s">
        <v>38</v>
      </c>
      <c r="B10" s="7">
        <v>12</v>
      </c>
      <c r="C10" s="7">
        <v>10</v>
      </c>
      <c r="D10" s="3" t="str">
        <f t="shared" si="0"/>
        <v>Decrement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7EC9-5677-4550-8562-813E2C678544}">
  <dimension ref="A1:J11"/>
  <sheetViews>
    <sheetView showGridLines="0" zoomScale="120" zoomScaleNormal="120" workbookViewId="0">
      <selection sqref="A1:D11"/>
    </sheetView>
  </sheetViews>
  <sheetFormatPr defaultColWidth="15.77734375" defaultRowHeight="19.2" x14ac:dyDescent="0.45"/>
  <cols>
    <col min="1" max="1" width="21" style="1" bestFit="1" customWidth="1"/>
    <col min="2" max="3" width="21.88671875" style="1" customWidth="1"/>
    <col min="4" max="4" width="19.5546875" style="1" customWidth="1"/>
    <col min="5" max="16384" width="15.77734375" style="1"/>
  </cols>
  <sheetData>
    <row r="1" spans="1:10" x14ac:dyDescent="0.45">
      <c r="A1" s="32" t="s">
        <v>0</v>
      </c>
      <c r="B1" s="32"/>
      <c r="C1" s="32"/>
      <c r="D1" s="32"/>
    </row>
    <row r="2" spans="1:10" x14ac:dyDescent="0.45">
      <c r="A2" s="33" t="s">
        <v>44</v>
      </c>
      <c r="B2" s="33"/>
      <c r="C2" s="33"/>
      <c r="D2" s="33"/>
    </row>
    <row r="3" spans="1:10" ht="13.5" customHeight="1" x14ac:dyDescent="0.45"/>
    <row r="4" spans="1:10" ht="38.4" x14ac:dyDescent="0.45">
      <c r="A4" s="4" t="s">
        <v>1</v>
      </c>
      <c r="B4" s="17" t="s">
        <v>42</v>
      </c>
      <c r="C4" s="17" t="s">
        <v>43</v>
      </c>
      <c r="D4" s="6" t="s">
        <v>14</v>
      </c>
    </row>
    <row r="5" spans="1:10" x14ac:dyDescent="0.45">
      <c r="A5" s="3" t="s">
        <v>36</v>
      </c>
      <c r="B5" s="27">
        <v>44</v>
      </c>
      <c r="C5" s="27">
        <v>34</v>
      </c>
      <c r="D5" s="3" t="str">
        <f>IF(AND(B5&gt;40,C5&gt;20),"Pass","Fail")</f>
        <v>Pass</v>
      </c>
      <c r="E5" s="8"/>
      <c r="F5" s="8"/>
      <c r="G5" s="8"/>
      <c r="H5" s="8"/>
      <c r="I5" s="8"/>
      <c r="J5" s="8"/>
    </row>
    <row r="6" spans="1:10" x14ac:dyDescent="0.45">
      <c r="A6" s="3" t="s">
        <v>49</v>
      </c>
      <c r="B6" s="27">
        <v>88</v>
      </c>
      <c r="C6" s="27">
        <v>22</v>
      </c>
      <c r="D6" s="3" t="str">
        <f t="shared" ref="D6:D11" si="0">IF(AND(B6&gt;40,C6&gt;20),"Pass","Fail")</f>
        <v>Pass</v>
      </c>
      <c r="E6" s="8"/>
      <c r="F6" s="8"/>
      <c r="G6" s="8"/>
      <c r="H6" s="8"/>
      <c r="I6" s="8"/>
      <c r="J6" s="8"/>
    </row>
    <row r="7" spans="1:10" x14ac:dyDescent="0.45">
      <c r="A7" s="3" t="s">
        <v>54</v>
      </c>
      <c r="B7" s="27">
        <v>81</v>
      </c>
      <c r="C7" s="27">
        <v>12</v>
      </c>
      <c r="D7" s="3" t="str">
        <f t="shared" si="0"/>
        <v>Fail</v>
      </c>
    </row>
    <row r="8" spans="1:10" x14ac:dyDescent="0.45">
      <c r="A8" s="3" t="s">
        <v>53</v>
      </c>
      <c r="B8" s="27">
        <v>81</v>
      </c>
      <c r="C8" s="27">
        <v>11</v>
      </c>
      <c r="D8" s="3" t="str">
        <f t="shared" si="0"/>
        <v>Fail</v>
      </c>
    </row>
    <row r="9" spans="1:10" x14ac:dyDescent="0.45">
      <c r="A9" s="3" t="s">
        <v>52</v>
      </c>
      <c r="B9" s="27">
        <v>60</v>
      </c>
      <c r="C9" s="27">
        <v>44</v>
      </c>
      <c r="D9" s="3" t="str">
        <f t="shared" si="0"/>
        <v>Pass</v>
      </c>
    </row>
    <row r="10" spans="1:10" x14ac:dyDescent="0.45">
      <c r="A10" s="3" t="s">
        <v>51</v>
      </c>
      <c r="B10" s="27">
        <v>12</v>
      </c>
      <c r="C10" s="27">
        <v>23</v>
      </c>
      <c r="D10" s="3" t="str">
        <f t="shared" si="0"/>
        <v>Fail</v>
      </c>
    </row>
    <row r="11" spans="1:10" x14ac:dyDescent="0.45">
      <c r="A11" s="3" t="s">
        <v>50</v>
      </c>
      <c r="B11" s="27">
        <v>11</v>
      </c>
      <c r="C11" s="27">
        <v>23</v>
      </c>
      <c r="D11" s="3" t="str">
        <f t="shared" si="0"/>
        <v>Fail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CB0A-565C-4405-9704-FA989F1F323A}">
  <dimension ref="A1:E14"/>
  <sheetViews>
    <sheetView showGridLines="0" tabSelected="1" zoomScale="120" zoomScaleNormal="120" workbookViewId="0">
      <selection activeCell="E12" sqref="E12"/>
    </sheetView>
  </sheetViews>
  <sheetFormatPr defaultColWidth="27.5546875" defaultRowHeight="19.2" x14ac:dyDescent="0.45"/>
  <cols>
    <col min="1" max="1" width="27.5546875" style="1"/>
    <col min="2" max="2" width="16.44140625" style="1" bestFit="1" customWidth="1"/>
    <col min="3" max="3" width="8.77734375" style="1" bestFit="1" customWidth="1"/>
    <col min="4" max="4" width="7.21875" style="1" bestFit="1" customWidth="1"/>
    <col min="5" max="5" width="56" style="1" customWidth="1"/>
    <col min="6" max="6" width="23.6640625" style="1" bestFit="1" customWidth="1"/>
    <col min="7" max="16384" width="27.5546875" style="1"/>
  </cols>
  <sheetData>
    <row r="1" spans="1:5" x14ac:dyDescent="0.45">
      <c r="A1" s="25" t="s">
        <v>11</v>
      </c>
    </row>
    <row r="2" spans="1:5" x14ac:dyDescent="0.45">
      <c r="A2" s="18" t="s">
        <v>1</v>
      </c>
      <c r="B2" s="19" t="s">
        <v>3</v>
      </c>
      <c r="C2" s="19" t="s">
        <v>2</v>
      </c>
      <c r="D2" s="19" t="s">
        <v>9</v>
      </c>
      <c r="E2" s="20" t="s">
        <v>10</v>
      </c>
    </row>
    <row r="3" spans="1:5" x14ac:dyDescent="0.45">
      <c r="A3" s="3" t="s">
        <v>28</v>
      </c>
      <c r="B3" s="21">
        <v>38261</v>
      </c>
      <c r="C3" s="22" t="s">
        <v>4</v>
      </c>
      <c r="D3" s="23">
        <v>3</v>
      </c>
      <c r="E3" s="24" t="str">
        <f>IF(AND(D3&lt;=3,C3="CDFD",B3&lt;=50000),"Eligible","Not Eligible")</f>
        <v>Not Eligible</v>
      </c>
    </row>
    <row r="4" spans="1:5" x14ac:dyDescent="0.45">
      <c r="A4" s="3" t="s">
        <v>29</v>
      </c>
      <c r="B4" s="21">
        <v>82135</v>
      </c>
      <c r="C4" s="22" t="s">
        <v>5</v>
      </c>
      <c r="D4" s="23">
        <v>4</v>
      </c>
      <c r="E4" s="24" t="str">
        <f t="shared" ref="E4:E14" si="0">IF(AND(D4&lt;=3,C4="CDFD",B4&lt;=50000),"Eligible","Not Eligible")</f>
        <v>Not Eligible</v>
      </c>
    </row>
    <row r="5" spans="1:5" x14ac:dyDescent="0.45">
      <c r="A5" s="3" t="s">
        <v>30</v>
      </c>
      <c r="B5" s="21">
        <v>24566</v>
      </c>
      <c r="C5" s="22" t="s">
        <v>4</v>
      </c>
      <c r="D5" s="23">
        <v>1</v>
      </c>
      <c r="E5" s="24" t="str">
        <f t="shared" si="0"/>
        <v>Not Eligible</v>
      </c>
    </row>
    <row r="6" spans="1:5" x14ac:dyDescent="0.45">
      <c r="A6" s="3" t="s">
        <v>31</v>
      </c>
      <c r="B6" s="21">
        <v>25000</v>
      </c>
      <c r="C6" s="22" t="s">
        <v>6</v>
      </c>
      <c r="D6" s="23">
        <v>2</v>
      </c>
      <c r="E6" s="24" t="str">
        <f t="shared" si="0"/>
        <v>Eligible</v>
      </c>
    </row>
    <row r="7" spans="1:5" x14ac:dyDescent="0.45">
      <c r="A7" s="3" t="s">
        <v>32</v>
      </c>
      <c r="B7" s="21">
        <v>38038</v>
      </c>
      <c r="C7" s="22" t="s">
        <v>4</v>
      </c>
      <c r="D7" s="23">
        <v>1</v>
      </c>
      <c r="E7" s="24" t="str">
        <f t="shared" si="0"/>
        <v>Not Eligible</v>
      </c>
    </row>
    <row r="8" spans="1:5" x14ac:dyDescent="0.45">
      <c r="A8" s="3" t="s">
        <v>33</v>
      </c>
      <c r="B8" s="21">
        <v>72682</v>
      </c>
      <c r="C8" s="22" t="s">
        <v>5</v>
      </c>
      <c r="D8" s="23">
        <v>3</v>
      </c>
      <c r="E8" s="24" t="str">
        <f t="shared" si="0"/>
        <v>Not Eligible</v>
      </c>
    </row>
    <row r="9" spans="1:5" x14ac:dyDescent="0.45">
      <c r="A9" s="3" t="s">
        <v>34</v>
      </c>
      <c r="B9" s="21">
        <v>353556</v>
      </c>
      <c r="C9" s="22" t="s">
        <v>7</v>
      </c>
      <c r="D9" s="2">
        <v>5</v>
      </c>
      <c r="E9" s="24" t="str">
        <f t="shared" si="0"/>
        <v>Not Eligible</v>
      </c>
    </row>
    <row r="10" spans="1:5" x14ac:dyDescent="0.45">
      <c r="A10" s="3" t="s">
        <v>35</v>
      </c>
      <c r="B10" s="21">
        <v>55089</v>
      </c>
      <c r="C10" s="22" t="s">
        <v>5</v>
      </c>
      <c r="D10" s="23">
        <v>2</v>
      </c>
      <c r="E10" s="24" t="str">
        <f t="shared" si="0"/>
        <v>Not Eligible</v>
      </c>
    </row>
    <row r="11" spans="1:5" x14ac:dyDescent="0.45">
      <c r="A11" s="3" t="s">
        <v>36</v>
      </c>
      <c r="B11" s="21">
        <v>35000</v>
      </c>
      <c r="C11" s="22" t="s">
        <v>6</v>
      </c>
      <c r="D11" s="23">
        <v>1</v>
      </c>
      <c r="E11" s="24" t="str">
        <f t="shared" si="0"/>
        <v>Eligible</v>
      </c>
    </row>
    <row r="12" spans="1:5" x14ac:dyDescent="0.45">
      <c r="A12" s="3" t="s">
        <v>37</v>
      </c>
      <c r="B12" s="21">
        <v>98527</v>
      </c>
      <c r="C12" s="22" t="s">
        <v>8</v>
      </c>
      <c r="D12" s="23">
        <v>4</v>
      </c>
      <c r="E12" s="24" t="str">
        <f t="shared" si="0"/>
        <v>Not Eligible</v>
      </c>
    </row>
    <row r="13" spans="1:5" x14ac:dyDescent="0.45">
      <c r="A13" s="3" t="s">
        <v>28</v>
      </c>
      <c r="B13" s="21">
        <v>20337</v>
      </c>
      <c r="C13" s="22" t="s">
        <v>6</v>
      </c>
      <c r="D13" s="23">
        <v>1</v>
      </c>
      <c r="E13" s="24" t="str">
        <f t="shared" si="0"/>
        <v>Eligible</v>
      </c>
    </row>
    <row r="14" spans="1:5" x14ac:dyDescent="0.45">
      <c r="A14" s="3" t="s">
        <v>29</v>
      </c>
      <c r="B14" s="21">
        <v>18158</v>
      </c>
      <c r="C14" s="22" t="s">
        <v>6</v>
      </c>
      <c r="D14" s="23">
        <v>3</v>
      </c>
      <c r="E14" s="24" t="str">
        <f t="shared" si="0"/>
        <v>Eligible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1544-5265-47B1-B232-C154A4B224F2}">
  <dimension ref="A1:L31"/>
  <sheetViews>
    <sheetView showGridLines="0" zoomScale="120" zoomScaleNormal="120" workbookViewId="0">
      <selection activeCell="D5" sqref="D5"/>
    </sheetView>
  </sheetViews>
  <sheetFormatPr defaultColWidth="15.77734375" defaultRowHeight="19.2" x14ac:dyDescent="0.45"/>
  <cols>
    <col min="1" max="1" width="21" style="1" bestFit="1" customWidth="1"/>
    <col min="2" max="3" width="21.88671875" style="1" customWidth="1"/>
    <col min="4" max="4" width="19.5546875" style="1" customWidth="1"/>
    <col min="5" max="16384" width="15.77734375" style="1"/>
  </cols>
  <sheetData>
    <row r="1" spans="1:10" x14ac:dyDescent="0.45">
      <c r="A1" s="32" t="s">
        <v>0</v>
      </c>
      <c r="B1" s="32"/>
      <c r="C1" s="32"/>
      <c r="D1" s="32"/>
    </row>
    <row r="2" spans="1:10" x14ac:dyDescent="0.45">
      <c r="A2" s="33" t="s">
        <v>45</v>
      </c>
      <c r="B2" s="33"/>
      <c r="C2" s="33"/>
      <c r="D2" s="33"/>
    </row>
    <row r="3" spans="1:10" ht="13.5" customHeight="1" x14ac:dyDescent="0.45"/>
    <row r="4" spans="1:10" ht="38.4" x14ac:dyDescent="0.45">
      <c r="A4" s="4" t="s">
        <v>1</v>
      </c>
      <c r="B4" s="17" t="s">
        <v>42</v>
      </c>
      <c r="C4" s="17" t="s">
        <v>43</v>
      </c>
      <c r="D4" s="6" t="s">
        <v>14</v>
      </c>
    </row>
    <row r="5" spans="1:10" x14ac:dyDescent="0.45">
      <c r="A5" s="3" t="s">
        <v>56</v>
      </c>
      <c r="B5" s="7">
        <v>44</v>
      </c>
      <c r="C5" s="7">
        <v>34</v>
      </c>
      <c r="D5" s="3" t="str">
        <f>IF(OR(B5&gt;40,C5&gt;20),"Pass","Fail")</f>
        <v>Pass</v>
      </c>
      <c r="E5" s="8"/>
      <c r="F5" s="8"/>
      <c r="G5" s="8"/>
      <c r="H5" s="8"/>
      <c r="I5" s="8"/>
      <c r="J5" s="8"/>
    </row>
    <row r="6" spans="1:10" x14ac:dyDescent="0.45">
      <c r="A6" s="3" t="s">
        <v>55</v>
      </c>
      <c r="B6" s="7">
        <v>88</v>
      </c>
      <c r="C6" s="7">
        <v>22</v>
      </c>
      <c r="D6" s="3" t="str">
        <f t="shared" ref="D6:D10" si="0">IF(OR(B6&gt;40,C6&gt;20),"Pass","Fail")</f>
        <v>Pass</v>
      </c>
      <c r="E6" s="8"/>
      <c r="F6" s="8"/>
      <c r="G6" s="8"/>
      <c r="H6" s="8"/>
      <c r="I6" s="8"/>
      <c r="J6" s="8"/>
    </row>
    <row r="7" spans="1:10" x14ac:dyDescent="0.45">
      <c r="A7" s="3" t="s">
        <v>57</v>
      </c>
      <c r="B7" s="7">
        <v>33</v>
      </c>
      <c r="C7" s="7">
        <v>12</v>
      </c>
      <c r="D7" s="3" t="str">
        <f t="shared" si="0"/>
        <v>Fail</v>
      </c>
    </row>
    <row r="8" spans="1:10" x14ac:dyDescent="0.45">
      <c r="A8" s="3" t="s">
        <v>58</v>
      </c>
      <c r="B8" s="7">
        <v>81</v>
      </c>
      <c r="C8" s="7">
        <v>11</v>
      </c>
      <c r="D8" s="3" t="str">
        <f t="shared" si="0"/>
        <v>Pass</v>
      </c>
    </row>
    <row r="9" spans="1:10" x14ac:dyDescent="0.45">
      <c r="A9" s="3" t="s">
        <v>59</v>
      </c>
      <c r="B9" s="7">
        <v>60</v>
      </c>
      <c r="C9" s="7">
        <v>44</v>
      </c>
      <c r="D9" s="3" t="str">
        <f t="shared" si="0"/>
        <v>Pass</v>
      </c>
    </row>
    <row r="10" spans="1:10" x14ac:dyDescent="0.45">
      <c r="A10" s="3" t="s">
        <v>60</v>
      </c>
      <c r="B10" s="7">
        <v>12</v>
      </c>
      <c r="C10" s="7">
        <v>11</v>
      </c>
      <c r="D10" s="3" t="str">
        <f t="shared" si="0"/>
        <v>Fail</v>
      </c>
    </row>
    <row r="18" spans="1:12" x14ac:dyDescent="0.45">
      <c r="A18" s="9" t="s">
        <v>1</v>
      </c>
      <c r="B18" s="10" t="s">
        <v>15</v>
      </c>
      <c r="C18" s="10" t="s">
        <v>16</v>
      </c>
      <c r="D18" s="11" t="s">
        <v>14</v>
      </c>
      <c r="F18" s="12" t="s">
        <v>0</v>
      </c>
    </row>
    <row r="19" spans="1:12" x14ac:dyDescent="0.45">
      <c r="A19" s="1" t="s">
        <v>17</v>
      </c>
      <c r="B19" s="13">
        <v>12</v>
      </c>
      <c r="C19" s="13">
        <v>34</v>
      </c>
      <c r="F19" s="31" t="s">
        <v>23</v>
      </c>
      <c r="G19" s="31"/>
      <c r="H19" s="31"/>
      <c r="I19" s="31"/>
      <c r="J19" s="31"/>
      <c r="K19" s="31"/>
      <c r="L19" s="31"/>
    </row>
    <row r="20" spans="1:12" x14ac:dyDescent="0.45">
      <c r="A20" s="1" t="s">
        <v>18</v>
      </c>
      <c r="B20" s="13">
        <v>28</v>
      </c>
      <c r="C20" s="13">
        <v>56</v>
      </c>
      <c r="F20" s="31"/>
      <c r="G20" s="31"/>
      <c r="H20" s="31"/>
      <c r="I20" s="31"/>
      <c r="J20" s="31"/>
      <c r="K20" s="31"/>
      <c r="L20" s="31"/>
    </row>
    <row r="21" spans="1:12" x14ac:dyDescent="0.45">
      <c r="A21" s="1" t="s">
        <v>19</v>
      </c>
      <c r="B21" s="13">
        <v>81</v>
      </c>
      <c r="C21" s="13">
        <v>12</v>
      </c>
    </row>
    <row r="22" spans="1:12" x14ac:dyDescent="0.45">
      <c r="A22" s="1" t="s">
        <v>20</v>
      </c>
      <c r="B22" s="13">
        <v>81</v>
      </c>
      <c r="C22" s="13">
        <v>95</v>
      </c>
    </row>
    <row r="23" spans="1:12" x14ac:dyDescent="0.45">
      <c r="A23" s="1" t="s">
        <v>21</v>
      </c>
      <c r="B23" s="13">
        <v>60</v>
      </c>
      <c r="C23" s="13">
        <v>71</v>
      </c>
    </row>
    <row r="24" spans="1:12" x14ac:dyDescent="0.45">
      <c r="A24" s="1" t="s">
        <v>22</v>
      </c>
      <c r="B24" s="13">
        <v>12</v>
      </c>
      <c r="C24" s="13">
        <v>74</v>
      </c>
    </row>
    <row r="28" spans="1:12" x14ac:dyDescent="0.45">
      <c r="A28" s="14" t="s">
        <v>24</v>
      </c>
      <c r="B28" s="14" t="s">
        <v>25</v>
      </c>
      <c r="C28" s="15" t="s">
        <v>26</v>
      </c>
      <c r="F28" s="12" t="s">
        <v>0</v>
      </c>
    </row>
    <row r="29" spans="1:12" x14ac:dyDescent="0.45">
      <c r="A29" s="13">
        <v>210</v>
      </c>
      <c r="B29" s="13">
        <v>35</v>
      </c>
      <c r="F29" s="31" t="s">
        <v>27</v>
      </c>
      <c r="G29" s="31"/>
      <c r="H29" s="31"/>
      <c r="I29" s="31"/>
      <c r="J29" s="31"/>
      <c r="K29" s="31"/>
      <c r="L29" s="31"/>
    </row>
    <row r="30" spans="1:12" x14ac:dyDescent="0.45">
      <c r="A30" s="13"/>
      <c r="B30" s="13"/>
      <c r="F30" s="31"/>
      <c r="G30" s="31"/>
      <c r="H30" s="31"/>
      <c r="I30" s="31"/>
      <c r="J30" s="31"/>
      <c r="K30" s="31"/>
      <c r="L30" s="31"/>
    </row>
    <row r="31" spans="1:12" x14ac:dyDescent="0.45">
      <c r="A31" s="13"/>
      <c r="B31" s="13"/>
    </row>
  </sheetData>
  <mergeCells count="4">
    <mergeCell ref="A1:D1"/>
    <mergeCell ref="A2:D2"/>
    <mergeCell ref="F19:L20"/>
    <mergeCell ref="F29:L3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2F54-0FE9-4685-B0DF-CCD1DB7DCBFB}">
  <dimension ref="A1:J14"/>
  <sheetViews>
    <sheetView showGridLines="0" zoomScale="120" zoomScaleNormal="120" workbookViewId="0">
      <selection activeCell="D2" sqref="D2"/>
    </sheetView>
  </sheetViews>
  <sheetFormatPr defaultColWidth="22.21875" defaultRowHeight="19.2" x14ac:dyDescent="0.45"/>
  <cols>
    <col min="1" max="1" width="22.21875" style="1"/>
    <col min="2" max="2" width="14.21875" style="1" customWidth="1"/>
    <col min="3" max="3" width="13.44140625" style="1" customWidth="1"/>
    <col min="4" max="4" width="32.109375" style="1" customWidth="1"/>
    <col min="5" max="7" width="13.44140625" style="1" customWidth="1"/>
    <col min="8" max="8" width="22.21875" style="1"/>
    <col min="9" max="10" width="8.5546875" style="1" customWidth="1"/>
    <col min="11" max="16384" width="22.21875" style="1"/>
  </cols>
  <sheetData>
    <row r="1" spans="1:10" x14ac:dyDescent="0.45">
      <c r="C1" s="26" t="s">
        <v>12</v>
      </c>
      <c r="D1"/>
      <c r="E1"/>
      <c r="F1"/>
      <c r="G1"/>
    </row>
    <row r="2" spans="1:10" ht="38.4" x14ac:dyDescent="0.45">
      <c r="A2" s="18" t="s">
        <v>1</v>
      </c>
      <c r="B2" s="19" t="s">
        <v>9</v>
      </c>
      <c r="C2" s="20" t="s">
        <v>74</v>
      </c>
      <c r="D2" t="s">
        <v>74</v>
      </c>
      <c r="E2"/>
      <c r="F2"/>
      <c r="G2"/>
      <c r="I2" s="28" t="s">
        <v>68</v>
      </c>
      <c r="J2" s="3" t="s">
        <v>69</v>
      </c>
    </row>
    <row r="3" spans="1:10" x14ac:dyDescent="0.45">
      <c r="A3" s="3" t="s">
        <v>61</v>
      </c>
      <c r="B3" s="23">
        <v>3</v>
      </c>
      <c r="C3" s="24" t="str">
        <f>IF(B3&lt;=3,"Good",IF(B3&lt;=5,"OK","BAD"))</f>
        <v>Good</v>
      </c>
      <c r="D3" s="30" t="str" cm="1">
        <f t="array" ref="D3">_xlfn.IFS(B3&lt;=3,"GOOD",B3&lt;=5,"OK",B3&lt;=8,"BAD")</f>
        <v>GOOD</v>
      </c>
      <c r="E3" s="30"/>
      <c r="F3" s="30"/>
      <c r="G3" s="30"/>
      <c r="I3" s="29" t="s">
        <v>70</v>
      </c>
      <c r="J3" s="3" t="s">
        <v>71</v>
      </c>
    </row>
    <row r="4" spans="1:10" x14ac:dyDescent="0.45">
      <c r="A4" s="3" t="s">
        <v>62</v>
      </c>
      <c r="B4" s="23">
        <v>4</v>
      </c>
      <c r="C4" s="24" t="str">
        <f t="shared" ref="C4:C14" si="0">IF(B4&lt;=3,"Good",IF(B4&lt;=5,"OK","BAD"))</f>
        <v>OK</v>
      </c>
      <c r="D4" s="30" t="str" cm="1">
        <f t="array" ref="D4">_xlfn.IFS(B4&lt;=3,"GOOD",B4&lt;=5,"OK",B4&lt;=8,"BAD")</f>
        <v>OK</v>
      </c>
      <c r="E4" s="30"/>
      <c r="F4" s="30"/>
      <c r="G4" s="30"/>
      <c r="I4" s="29" t="s">
        <v>72</v>
      </c>
      <c r="J4" s="3" t="s">
        <v>73</v>
      </c>
    </row>
    <row r="5" spans="1:10" x14ac:dyDescent="0.45">
      <c r="A5" s="3" t="s">
        <v>63</v>
      </c>
      <c r="B5" s="23">
        <v>1</v>
      </c>
      <c r="C5" s="24" t="str">
        <f t="shared" si="0"/>
        <v>Good</v>
      </c>
      <c r="D5" s="30" t="str" cm="1">
        <f t="array" ref="D5">_xlfn.IFS(B5&lt;=3,"GOOD",B5&lt;=5,"OK",B5&lt;=8,"BAD")</f>
        <v>GOOD</v>
      </c>
      <c r="E5" s="30"/>
      <c r="F5" s="30"/>
      <c r="G5" s="30"/>
    </row>
    <row r="6" spans="1:10" x14ac:dyDescent="0.45">
      <c r="A6" s="3" t="s">
        <v>64</v>
      </c>
      <c r="B6" s="23">
        <v>5</v>
      </c>
      <c r="C6" s="24" t="str">
        <f t="shared" si="0"/>
        <v>OK</v>
      </c>
      <c r="D6" s="30" t="str" cm="1">
        <f t="array" ref="D6">_xlfn.IFS(B6&lt;=3,"GOOD",B6&lt;=5,"OK",B6&lt;=8,"BAD")</f>
        <v>OK</v>
      </c>
      <c r="E6" s="30"/>
      <c r="F6" s="30"/>
      <c r="G6" s="30"/>
    </row>
    <row r="7" spans="1:10" x14ac:dyDescent="0.45">
      <c r="A7" s="3" t="s">
        <v>65</v>
      </c>
      <c r="B7" s="23">
        <v>1</v>
      </c>
      <c r="C7" s="24" t="str">
        <f t="shared" si="0"/>
        <v>Good</v>
      </c>
      <c r="D7" s="30" t="str" cm="1">
        <f t="array" ref="D7">_xlfn.IFS(B7&lt;=3,"GOOD",B7&lt;=5,"OK",B7&lt;=8,"BAD")</f>
        <v>GOOD</v>
      </c>
      <c r="E7" s="30"/>
      <c r="F7" s="30"/>
      <c r="G7" s="30"/>
    </row>
    <row r="8" spans="1:10" x14ac:dyDescent="0.45">
      <c r="A8" s="3" t="s">
        <v>66</v>
      </c>
      <c r="B8" s="23">
        <v>6</v>
      </c>
      <c r="C8" s="24" t="str">
        <f t="shared" si="0"/>
        <v>BAD</v>
      </c>
      <c r="D8" s="30" t="str" cm="1">
        <f t="array" ref="D8">_xlfn.IFS(B8&lt;=3,"GOOD",B8&lt;=5,"OK",B8&lt;=8,"BAD")</f>
        <v>BAD</v>
      </c>
      <c r="E8" s="30"/>
      <c r="F8" s="30"/>
      <c r="G8" s="30"/>
    </row>
    <row r="9" spans="1:10" x14ac:dyDescent="0.45">
      <c r="A9" s="3" t="s">
        <v>49</v>
      </c>
      <c r="B9" s="2">
        <v>5</v>
      </c>
      <c r="C9" s="24" t="str">
        <f t="shared" si="0"/>
        <v>OK</v>
      </c>
      <c r="D9" s="30" t="str" cm="1">
        <f t="array" ref="D9">_xlfn.IFS(B9&lt;=3,"GOOD",B9&lt;=5,"OK",B9&lt;=8,"BAD")</f>
        <v>OK</v>
      </c>
      <c r="E9" s="30"/>
      <c r="F9" s="30"/>
      <c r="G9" s="30"/>
    </row>
    <row r="10" spans="1:10" x14ac:dyDescent="0.45">
      <c r="A10" s="3" t="s">
        <v>36</v>
      </c>
      <c r="B10" s="23">
        <v>7</v>
      </c>
      <c r="C10" s="24" t="str">
        <f t="shared" si="0"/>
        <v>BAD</v>
      </c>
      <c r="D10" s="30" t="str" cm="1">
        <f t="array" ref="D10">_xlfn.IFS(B10&lt;=3,"GOOD",B10&lt;=5,"OK",B10&lt;=8,"BAD")</f>
        <v>BAD</v>
      </c>
      <c r="E10" s="30"/>
      <c r="F10" s="30"/>
      <c r="G10" s="30"/>
    </row>
    <row r="11" spans="1:10" x14ac:dyDescent="0.45">
      <c r="A11" s="3" t="s">
        <v>67</v>
      </c>
      <c r="B11" s="23">
        <v>1</v>
      </c>
      <c r="C11" s="24" t="str">
        <f t="shared" si="0"/>
        <v>Good</v>
      </c>
      <c r="D11" s="30" t="str" cm="1">
        <f t="array" ref="D11">_xlfn.IFS(B11&lt;=3,"GOOD",B11&lt;=5,"OK",B11&lt;=8,"BAD")</f>
        <v>GOOD</v>
      </c>
      <c r="E11" s="30"/>
      <c r="F11" s="30"/>
      <c r="G11" s="30"/>
    </row>
    <row r="12" spans="1:10" x14ac:dyDescent="0.45">
      <c r="A12" s="3" t="s">
        <v>32</v>
      </c>
      <c r="B12" s="23">
        <v>8</v>
      </c>
      <c r="C12" s="24" t="str">
        <f t="shared" si="0"/>
        <v>BAD</v>
      </c>
      <c r="D12" s="30" t="str" cm="1">
        <f t="array" ref="D12">_xlfn.IFS(B12&lt;=3,"GOOD",B12&lt;=5,"OK",B12&lt;=8,"BAD")</f>
        <v>BAD</v>
      </c>
      <c r="E12" s="30"/>
      <c r="F12" s="30"/>
      <c r="G12" s="30"/>
    </row>
    <row r="13" spans="1:10" x14ac:dyDescent="0.45">
      <c r="A13" s="3" t="s">
        <v>57</v>
      </c>
      <c r="B13" s="23">
        <v>1</v>
      </c>
      <c r="C13" s="24" t="str">
        <f t="shared" si="0"/>
        <v>Good</v>
      </c>
      <c r="D13" s="30" t="str" cm="1">
        <f t="array" ref="D13">_xlfn.IFS(B13&lt;=3,"GOOD",B13&lt;=5,"OK",B13&lt;=8,"BAD")</f>
        <v>GOOD</v>
      </c>
      <c r="E13" s="30"/>
      <c r="F13" s="30"/>
      <c r="G13" s="30"/>
    </row>
    <row r="14" spans="1:10" x14ac:dyDescent="0.45">
      <c r="A14" s="3" t="s">
        <v>59</v>
      </c>
      <c r="B14" s="23">
        <v>2</v>
      </c>
      <c r="C14" s="24" t="str">
        <f t="shared" si="0"/>
        <v>Good</v>
      </c>
      <c r="D14" s="30" t="str" cm="1">
        <f t="array" ref="D14">_xlfn.IFS(B14&lt;=3,"GOOD",B14&lt;=5,"OK",B14&lt;=8,"BAD")</f>
        <v>GOOD</v>
      </c>
      <c r="E14" s="30"/>
      <c r="F14" s="30"/>
      <c r="G14" s="30"/>
    </row>
  </sheetData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C99A-FFDE-4C87-93AA-29C9E3778DBD}">
  <dimension ref="A1:J10"/>
  <sheetViews>
    <sheetView showGridLines="0" topLeftCell="A4" zoomScale="130" zoomScaleNormal="130" workbookViewId="0">
      <selection activeCell="D7" sqref="D7"/>
    </sheetView>
  </sheetViews>
  <sheetFormatPr defaultColWidth="15.77734375" defaultRowHeight="19.2" x14ac:dyDescent="0.45"/>
  <cols>
    <col min="1" max="1" width="21" style="1" bestFit="1" customWidth="1"/>
    <col min="2" max="3" width="15.77734375" style="1"/>
    <col min="4" max="4" width="20.21875" style="1" customWidth="1"/>
    <col min="5" max="16384" width="15.77734375" style="1"/>
  </cols>
  <sheetData>
    <row r="1" spans="1:10" x14ac:dyDescent="0.45">
      <c r="A1" s="32" t="s">
        <v>0</v>
      </c>
      <c r="B1" s="32"/>
      <c r="C1" s="32"/>
      <c r="D1" s="32"/>
    </row>
    <row r="2" spans="1:10" x14ac:dyDescent="0.45">
      <c r="A2" s="33" t="s">
        <v>48</v>
      </c>
      <c r="B2" s="33"/>
      <c r="C2" s="33"/>
      <c r="D2" s="33"/>
    </row>
    <row r="4" spans="1:10" x14ac:dyDescent="0.45">
      <c r="A4" s="4" t="s">
        <v>1</v>
      </c>
      <c r="B4" s="5" t="s">
        <v>47</v>
      </c>
      <c r="C4" s="5" t="s">
        <v>46</v>
      </c>
      <c r="D4" s="6" t="s">
        <v>14</v>
      </c>
    </row>
    <row r="5" spans="1:10" x14ac:dyDescent="0.45">
      <c r="A5" s="3" t="s">
        <v>28</v>
      </c>
      <c r="B5" s="7">
        <v>12</v>
      </c>
      <c r="C5" s="7">
        <v>1</v>
      </c>
      <c r="D5" s="3">
        <f>IFERROR(B5/C5,"Invalid Quantity")</f>
        <v>12</v>
      </c>
      <c r="E5" s="8"/>
      <c r="F5" s="8"/>
      <c r="G5" s="8"/>
      <c r="H5" s="8"/>
      <c r="I5" s="8"/>
      <c r="J5" s="8"/>
    </row>
    <row r="6" spans="1:10" x14ac:dyDescent="0.45">
      <c r="A6" s="3" t="s">
        <v>29</v>
      </c>
      <c r="B6" s="7">
        <v>28</v>
      </c>
      <c r="C6" s="7">
        <v>2</v>
      </c>
      <c r="D6" s="3">
        <f t="shared" ref="D6:D10" si="0">IFERROR(B6/C6,"Invalid Quantity")</f>
        <v>14</v>
      </c>
      <c r="E6" s="8"/>
      <c r="F6" s="8"/>
      <c r="G6" s="8"/>
      <c r="H6" s="8"/>
      <c r="I6" s="8"/>
      <c r="J6" s="8"/>
    </row>
    <row r="7" spans="1:10" x14ac:dyDescent="0.45">
      <c r="A7" s="3" t="s">
        <v>30</v>
      </c>
      <c r="B7" s="7">
        <v>81</v>
      </c>
      <c r="C7" s="7">
        <v>0</v>
      </c>
      <c r="D7" s="3" t="str">
        <f t="shared" si="0"/>
        <v>Invalid Quantity</v>
      </c>
    </row>
    <row r="8" spans="1:10" x14ac:dyDescent="0.45">
      <c r="A8" s="3" t="s">
        <v>31</v>
      </c>
      <c r="B8" s="7">
        <v>81</v>
      </c>
      <c r="C8" s="7">
        <v>5</v>
      </c>
      <c r="D8" s="3">
        <f t="shared" si="0"/>
        <v>16.2</v>
      </c>
    </row>
    <row r="9" spans="1:10" x14ac:dyDescent="0.45">
      <c r="A9" s="3" t="s">
        <v>32</v>
      </c>
      <c r="B9" s="7">
        <v>60</v>
      </c>
      <c r="C9" s="7">
        <v>3</v>
      </c>
      <c r="D9" s="3">
        <f t="shared" si="0"/>
        <v>20</v>
      </c>
    </row>
    <row r="10" spans="1:10" x14ac:dyDescent="0.45">
      <c r="A10" s="3" t="s">
        <v>38</v>
      </c>
      <c r="B10" s="7">
        <v>12</v>
      </c>
      <c r="C10" s="7">
        <v>0</v>
      </c>
      <c r="D10" s="3" t="str">
        <f t="shared" si="0"/>
        <v>Invalid Quantity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51ABD71D-11AF-4E9A-AF89-9DC727F196B9}"/>
</file>

<file path=customXml/itemProps2.xml><?xml version="1.0" encoding="utf-8"?>
<ds:datastoreItem xmlns:ds="http://schemas.openxmlformats.org/officeDocument/2006/customXml" ds:itemID="{096FBC80-84E6-4355-BBE0-6B480B97C00C}"/>
</file>

<file path=customXml/itemProps3.xml><?xml version="1.0" encoding="utf-8"?>
<ds:datastoreItem xmlns:ds="http://schemas.openxmlformats.org/officeDocument/2006/customXml" ds:itemID="{97D134B2-C50D-4770-B88E-2AA57A0DB9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Page</vt:lpstr>
      <vt:lpstr>IF-Example1</vt:lpstr>
      <vt:lpstr>IF-Example2</vt:lpstr>
      <vt:lpstr> IF-AND</vt:lpstr>
      <vt:lpstr>IF-AND Example 2</vt:lpstr>
      <vt:lpstr> IF-OR</vt:lpstr>
      <vt:lpstr>Nested IF Ex1</vt:lpstr>
      <vt:lpstr>IFERROR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Prabhas Panda</dc:creator>
  <cp:lastModifiedBy>Pavan Lalwani</cp:lastModifiedBy>
  <dcterms:created xsi:type="dcterms:W3CDTF">2015-06-05T18:17:20Z</dcterms:created>
  <dcterms:modified xsi:type="dcterms:W3CDTF">2024-08-28T14:42:49Z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138400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